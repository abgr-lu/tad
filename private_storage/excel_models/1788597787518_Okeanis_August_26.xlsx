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768" yWindow="312" windowWidth="21828" windowHeight="9276" activeTab="1"/>
  </bookViews>
  <sheets>
    <sheet name="Cover" sheetId="4" r:id="rId1"/>
    <sheet name="NAV" sheetId="5" r:id="rId2"/>
    <sheet name="P&amp;L" sheetId="6" r:id="rId3"/>
    <sheet name="Balance" sheetId="7" r:id="rId4"/>
    <sheet name="CashFlow" sheetId="8" r:id="rId5"/>
  </sheets>
  <externalReferences>
    <externalReference r:id="rId6"/>
  </externalReferences>
  <calcPr calcId="144525"/>
</workbook>
</file>

<file path=xl/calcChain.xml><?xml version="1.0" encoding="utf-8"?>
<calcChain xmlns="http://schemas.openxmlformats.org/spreadsheetml/2006/main">
  <c r="N60" i="8" l="1"/>
  <c r="N54" i="8"/>
  <c r="N55" i="8" s="1"/>
  <c r="N48" i="8"/>
  <c r="N41" i="8"/>
  <c r="N43" i="8" s="1"/>
  <c r="N19" i="8"/>
  <c r="N6" i="8"/>
  <c r="N5" i="8"/>
  <c r="N17" i="8" s="1"/>
  <c r="N31" i="8" s="1"/>
  <c r="N4" i="8"/>
  <c r="N53" i="7"/>
  <c r="N54" i="7" s="1"/>
  <c r="N28" i="7"/>
  <c r="N24" i="7"/>
  <c r="N23" i="7" s="1"/>
  <c r="N36" i="7" s="1"/>
  <c r="N3" i="7"/>
  <c r="N2" i="7"/>
  <c r="N90" i="6"/>
  <c r="N89" i="6"/>
  <c r="N88" i="6"/>
  <c r="N87" i="6"/>
  <c r="N86" i="6"/>
  <c r="N85" i="6"/>
  <c r="N84" i="6"/>
  <c r="N83" i="6"/>
  <c r="N82" i="6"/>
  <c r="N81" i="6"/>
  <c r="N80" i="6"/>
  <c r="N79" i="6"/>
  <c r="N78" i="6"/>
  <c r="N77" i="6"/>
  <c r="N76" i="6"/>
  <c r="N75" i="6"/>
  <c r="N74" i="6"/>
  <c r="N73" i="6"/>
  <c r="N2" i="6" s="1"/>
  <c r="N15" i="6" s="1"/>
  <c r="N44" i="6"/>
  <c r="N42" i="6"/>
  <c r="N28" i="6"/>
  <c r="N13" i="6"/>
  <c r="S26" i="5"/>
  <c r="S25" i="5"/>
  <c r="S21" i="5"/>
  <c r="S9" i="5" s="1"/>
  <c r="S15" i="5"/>
  <c r="S34" i="5" s="1"/>
  <c r="S12" i="5"/>
  <c r="S8" i="5"/>
  <c r="M19" i="8"/>
  <c r="L19" i="8"/>
  <c r="K19" i="8"/>
  <c r="K58" i="7"/>
  <c r="J55" i="8"/>
  <c r="J19" i="8"/>
  <c r="J5" i="8"/>
  <c r="M24" i="7"/>
  <c r="L24" i="7"/>
  <c r="K24" i="7"/>
  <c r="C47" i="6"/>
  <c r="D47" i="6"/>
  <c r="E47" i="6"/>
  <c r="F47" i="6"/>
  <c r="G47" i="6"/>
  <c r="H47" i="6"/>
  <c r="I47" i="6"/>
  <c r="M47" i="6"/>
  <c r="L47" i="6"/>
  <c r="J47" i="6"/>
  <c r="K47" i="6"/>
  <c r="K18" i="6"/>
  <c r="R26" i="5"/>
  <c r="R25" i="5"/>
  <c r="Q26" i="5"/>
  <c r="Q25" i="5"/>
  <c r="P25" i="5"/>
  <c r="P26" i="5"/>
  <c r="K54" i="8"/>
  <c r="N59" i="8" l="1"/>
  <c r="N61" i="8" s="1"/>
  <c r="N18" i="7" s="1"/>
  <c r="N64" i="8"/>
  <c r="N38" i="7"/>
  <c r="N40" i="7" s="1"/>
  <c r="N45" i="7"/>
  <c r="N47" i="6"/>
  <c r="N48" i="6" s="1"/>
  <c r="S32" i="5" s="1"/>
  <c r="N17" i="6"/>
  <c r="N18" i="6" s="1"/>
  <c r="S33" i="5" s="1"/>
  <c r="N30" i="6"/>
  <c r="N35" i="6" s="1"/>
  <c r="M2" i="5"/>
  <c r="S39" i="5" s="1"/>
  <c r="S36" i="5" l="1"/>
  <c r="S30" i="5"/>
  <c r="N65" i="8"/>
  <c r="S35" i="5"/>
  <c r="S38" i="5" s="1"/>
  <c r="N10" i="7"/>
  <c r="N20" i="7" s="1"/>
  <c r="N41" i="7" s="1"/>
  <c r="S7" i="5"/>
  <c r="N46" i="7"/>
  <c r="S6" i="5"/>
  <c r="N47" i="7"/>
  <c r="N38" i="6"/>
  <c r="N39" i="6"/>
  <c r="C60" i="8"/>
  <c r="I55" i="8"/>
  <c r="H55" i="8"/>
  <c r="G55" i="8"/>
  <c r="F55" i="8"/>
  <c r="E55" i="8"/>
  <c r="D55" i="8"/>
  <c r="C55" i="8"/>
  <c r="L43" i="8"/>
  <c r="J43" i="8"/>
  <c r="I43" i="8"/>
  <c r="H43" i="8"/>
  <c r="G43" i="8"/>
  <c r="F43" i="8"/>
  <c r="E43" i="8"/>
  <c r="D43" i="8"/>
  <c r="C43" i="8"/>
  <c r="M41" i="8"/>
  <c r="M43" i="8" s="1"/>
  <c r="L41" i="8"/>
  <c r="G31" i="8"/>
  <c r="G64" i="8" s="1"/>
  <c r="G65" i="8" s="1"/>
  <c r="I19" i="8"/>
  <c r="H19" i="8"/>
  <c r="G19" i="8"/>
  <c r="F19" i="8"/>
  <c r="E19" i="8"/>
  <c r="D19" i="8"/>
  <c r="C19" i="8"/>
  <c r="I17" i="8"/>
  <c r="I31" i="8" s="1"/>
  <c r="G17" i="8"/>
  <c r="E17" i="8"/>
  <c r="E31" i="8" s="1"/>
  <c r="C17" i="8"/>
  <c r="C31" i="8" s="1"/>
  <c r="C64" i="8" s="1"/>
  <c r="C65" i="8" s="1"/>
  <c r="M6" i="8"/>
  <c r="L6" i="8"/>
  <c r="L5" i="8" s="1"/>
  <c r="K6" i="8"/>
  <c r="J6" i="8"/>
  <c r="M5" i="8"/>
  <c r="K5" i="8"/>
  <c r="I5" i="8"/>
  <c r="H5" i="8"/>
  <c r="H17" i="8" s="1"/>
  <c r="H31" i="8" s="1"/>
  <c r="G5" i="8"/>
  <c r="F5" i="8"/>
  <c r="F17" i="8" s="1"/>
  <c r="F31" i="8" s="1"/>
  <c r="E5" i="8"/>
  <c r="D5" i="8"/>
  <c r="D17" i="8" s="1"/>
  <c r="D31" i="8" s="1"/>
  <c r="C5" i="8"/>
  <c r="K41" i="8"/>
  <c r="K43" i="8" s="1"/>
  <c r="M53" i="7"/>
  <c r="R8" i="5" s="1"/>
  <c r="L53" i="7"/>
  <c r="Q8" i="5" s="1"/>
  <c r="K53" i="7"/>
  <c r="P8" i="5" s="1"/>
  <c r="I53" i="7"/>
  <c r="H53" i="7"/>
  <c r="G53" i="7"/>
  <c r="F53" i="7"/>
  <c r="E53" i="7"/>
  <c r="F54" i="7" s="1"/>
  <c r="D53" i="7"/>
  <c r="C53" i="7"/>
  <c r="I45" i="7"/>
  <c r="I47" i="7" s="1"/>
  <c r="H45" i="7"/>
  <c r="H47" i="7" s="1"/>
  <c r="G45" i="7"/>
  <c r="F45" i="7"/>
  <c r="F47" i="7" s="1"/>
  <c r="E45" i="7"/>
  <c r="E47" i="7" s="1"/>
  <c r="D45" i="7"/>
  <c r="D47" i="7" s="1"/>
  <c r="C45" i="7"/>
  <c r="C47" i="7" s="1"/>
  <c r="I36" i="7"/>
  <c r="I40" i="7" s="1"/>
  <c r="M28" i="7"/>
  <c r="L28" i="7"/>
  <c r="K28" i="7"/>
  <c r="J28" i="7"/>
  <c r="I28" i="7"/>
  <c r="H28" i="7"/>
  <c r="G28" i="7"/>
  <c r="F28" i="7"/>
  <c r="E28" i="7"/>
  <c r="D28" i="7"/>
  <c r="C28" i="7"/>
  <c r="J23" i="7"/>
  <c r="J36" i="7" s="1"/>
  <c r="I23" i="7"/>
  <c r="H23" i="7"/>
  <c r="G23" i="7"/>
  <c r="F23" i="7"/>
  <c r="F36" i="7" s="1"/>
  <c r="F40" i="7" s="1"/>
  <c r="E23" i="7"/>
  <c r="E36" i="7" s="1"/>
  <c r="E40" i="7" s="1"/>
  <c r="D23" i="7"/>
  <c r="C23" i="7"/>
  <c r="I10" i="7"/>
  <c r="H10" i="7"/>
  <c r="G10" i="7"/>
  <c r="F10" i="7"/>
  <c r="E10" i="7"/>
  <c r="D10" i="7"/>
  <c r="C10" i="7"/>
  <c r="J53" i="7"/>
  <c r="K3" i="7"/>
  <c r="I2" i="7"/>
  <c r="H2" i="7"/>
  <c r="H20" i="7" s="1"/>
  <c r="G2" i="7"/>
  <c r="G20" i="7" s="1"/>
  <c r="F2" i="7"/>
  <c r="E2" i="7"/>
  <c r="D2" i="7"/>
  <c r="D20" i="7" s="1"/>
  <c r="C2" i="7"/>
  <c r="C20" i="7" s="1"/>
  <c r="M44" i="6"/>
  <c r="L44" i="6"/>
  <c r="K44" i="6"/>
  <c r="J44" i="6"/>
  <c r="I44" i="6"/>
  <c r="H44" i="6"/>
  <c r="G44" i="6"/>
  <c r="F44" i="6"/>
  <c r="M42" i="6"/>
  <c r="L42" i="6"/>
  <c r="K42" i="6"/>
  <c r="J42" i="6"/>
  <c r="I42" i="6"/>
  <c r="H42" i="6"/>
  <c r="G42" i="6"/>
  <c r="F42" i="6"/>
  <c r="M28" i="6"/>
  <c r="L28" i="6"/>
  <c r="K28" i="6"/>
  <c r="J28" i="6"/>
  <c r="I28" i="6"/>
  <c r="H28" i="6"/>
  <c r="G28" i="6"/>
  <c r="F28" i="6"/>
  <c r="E28" i="6"/>
  <c r="D28" i="6"/>
  <c r="C28" i="6"/>
  <c r="D18" i="6"/>
  <c r="H17" i="6"/>
  <c r="H18" i="6" s="1"/>
  <c r="G17" i="6"/>
  <c r="G18" i="6" s="1"/>
  <c r="D17" i="6"/>
  <c r="C17" i="6"/>
  <c r="C18" i="6" s="1"/>
  <c r="H15" i="6"/>
  <c r="H48" i="6" s="1"/>
  <c r="G15" i="6"/>
  <c r="G30" i="6" s="1"/>
  <c r="G35" i="6" s="1"/>
  <c r="F15" i="6"/>
  <c r="F48" i="6" s="1"/>
  <c r="D15" i="6"/>
  <c r="D48" i="6" s="1"/>
  <c r="C15" i="6"/>
  <c r="C48" i="6" s="1"/>
  <c r="M13" i="6"/>
  <c r="L13" i="6"/>
  <c r="K13" i="6"/>
  <c r="J13" i="6"/>
  <c r="I13" i="6"/>
  <c r="I15" i="6" s="1"/>
  <c r="H13" i="6"/>
  <c r="G13" i="6"/>
  <c r="F13" i="6"/>
  <c r="E13" i="6"/>
  <c r="E15" i="6" s="1"/>
  <c r="D13" i="6"/>
  <c r="C13" i="6"/>
  <c r="M90" i="6"/>
  <c r="R21" i="5"/>
  <c r="R9" i="5" s="1"/>
  <c r="Q21" i="5"/>
  <c r="Q9" i="5" s="1"/>
  <c r="P21" i="5"/>
  <c r="P9" i="5" s="1"/>
  <c r="H19" i="5"/>
  <c r="H18" i="5"/>
  <c r="H17" i="5"/>
  <c r="H16" i="5"/>
  <c r="H15" i="5"/>
  <c r="H14" i="5"/>
  <c r="H13" i="5"/>
  <c r="R12" i="5"/>
  <c r="Q12" i="5"/>
  <c r="P12" i="5"/>
  <c r="O12" i="5"/>
  <c r="N12" i="5"/>
  <c r="H12" i="5"/>
  <c r="H10" i="5"/>
  <c r="O9" i="5"/>
  <c r="N9" i="5"/>
  <c r="H9" i="5"/>
  <c r="O8" i="5"/>
  <c r="H8" i="5"/>
  <c r="N7" i="5"/>
  <c r="H7" i="5"/>
  <c r="N6" i="5"/>
  <c r="H6" i="5"/>
  <c r="H5" i="5"/>
  <c r="H4" i="5"/>
  <c r="H3" i="5"/>
  <c r="H2" i="5"/>
  <c r="S31" i="5" l="1"/>
  <c r="S37" i="5" s="1"/>
  <c r="S22" i="5"/>
  <c r="S23" i="5" s="1"/>
  <c r="M54" i="7"/>
  <c r="N8" i="5"/>
  <c r="F20" i="7"/>
  <c r="J2" i="7"/>
  <c r="C36" i="7"/>
  <c r="C40" i="7" s="1"/>
  <c r="C41" i="7" s="1"/>
  <c r="G36" i="7"/>
  <c r="G40" i="7" s="1"/>
  <c r="G41" i="7" s="1"/>
  <c r="E54" i="7"/>
  <c r="I54" i="7"/>
  <c r="F46" i="7"/>
  <c r="J54" i="7"/>
  <c r="D36" i="7"/>
  <c r="D40" i="7" s="1"/>
  <c r="D41" i="7" s="1"/>
  <c r="H36" i="7"/>
  <c r="H40" i="7" s="1"/>
  <c r="G46" i="7"/>
  <c r="K54" i="7"/>
  <c r="E20" i="7"/>
  <c r="I20" i="7"/>
  <c r="I41" i="7" s="1"/>
  <c r="G54" i="7"/>
  <c r="L76" i="6"/>
  <c r="L78" i="6"/>
  <c r="L84" i="6"/>
  <c r="L86" i="6"/>
  <c r="L88" i="6"/>
  <c r="L73" i="6"/>
  <c r="L75" i="6"/>
  <c r="L77" i="6"/>
  <c r="L79" i="6"/>
  <c r="L81" i="6"/>
  <c r="L83" i="6"/>
  <c r="L85" i="6"/>
  <c r="L87" i="6"/>
  <c r="L89" i="6"/>
  <c r="L80" i="6"/>
  <c r="L74" i="6"/>
  <c r="L82" i="6"/>
  <c r="L90" i="6"/>
  <c r="M73" i="6"/>
  <c r="M74" i="6"/>
  <c r="M75" i="6"/>
  <c r="M76" i="6"/>
  <c r="M77" i="6"/>
  <c r="M78" i="6"/>
  <c r="M79" i="6"/>
  <c r="M80" i="6"/>
  <c r="M81" i="6"/>
  <c r="M82" i="6"/>
  <c r="M83" i="6"/>
  <c r="M84" i="6"/>
  <c r="M85" i="6"/>
  <c r="M86" i="6"/>
  <c r="M87" i="6"/>
  <c r="M88" i="6"/>
  <c r="M89" i="6"/>
  <c r="K73" i="6"/>
  <c r="K74" i="6"/>
  <c r="K75" i="6"/>
  <c r="K76" i="6"/>
  <c r="K77" i="6"/>
  <c r="K78" i="6"/>
  <c r="K79" i="6"/>
  <c r="K80" i="6"/>
  <c r="K81" i="6"/>
  <c r="K82" i="6"/>
  <c r="K83" i="6"/>
  <c r="K84" i="6"/>
  <c r="K85" i="6"/>
  <c r="K86" i="6"/>
  <c r="K87" i="6"/>
  <c r="K88" i="6"/>
  <c r="K89" i="6"/>
  <c r="K90" i="6"/>
  <c r="N16" i="5"/>
  <c r="N10" i="5"/>
  <c r="N14" i="5" s="1"/>
  <c r="I59" i="8"/>
  <c r="I64" i="8"/>
  <c r="F59" i="8"/>
  <c r="F64" i="8"/>
  <c r="F65" i="8" s="1"/>
  <c r="C61" i="8"/>
  <c r="D60" i="8" s="1"/>
  <c r="E59" i="8"/>
  <c r="E64" i="8"/>
  <c r="E65" i="8" s="1"/>
  <c r="D64" i="8"/>
  <c r="D65" i="8" s="1"/>
  <c r="D59" i="8"/>
  <c r="H64" i="8"/>
  <c r="H65" i="8" s="1"/>
  <c r="H59" i="8"/>
  <c r="C59" i="8"/>
  <c r="G59" i="8"/>
  <c r="L3" i="7"/>
  <c r="K2" i="7"/>
  <c r="H41" i="7"/>
  <c r="K45" i="7"/>
  <c r="K23" i="7"/>
  <c r="K36" i="7" s="1"/>
  <c r="E41" i="7"/>
  <c r="F41" i="7"/>
  <c r="J45" i="7"/>
  <c r="D46" i="7"/>
  <c r="H46" i="7"/>
  <c r="D54" i="7"/>
  <c r="H54" i="7"/>
  <c r="L54" i="7"/>
  <c r="E46" i="7"/>
  <c r="I46" i="7"/>
  <c r="G47" i="7"/>
  <c r="E17" i="6"/>
  <c r="E18" i="6" s="1"/>
  <c r="E48" i="6"/>
  <c r="E30" i="6"/>
  <c r="E35" i="6" s="1"/>
  <c r="I17" i="6"/>
  <c r="I18" i="6" s="1"/>
  <c r="I48" i="6"/>
  <c r="I30" i="6"/>
  <c r="I35" i="6" s="1"/>
  <c r="G39" i="6"/>
  <c r="G38" i="6"/>
  <c r="C30" i="6"/>
  <c r="C35" i="6" s="1"/>
  <c r="G48" i="6"/>
  <c r="F17" i="6"/>
  <c r="F18" i="6" s="1"/>
  <c r="F30" i="6"/>
  <c r="F35" i="6" s="1"/>
  <c r="D30" i="6"/>
  <c r="D35" i="6" s="1"/>
  <c r="H30" i="6"/>
  <c r="H35" i="6" s="1"/>
  <c r="R22" i="5"/>
  <c r="R23" i="5" s="1"/>
  <c r="Q30" i="5"/>
  <c r="P22" i="5"/>
  <c r="P23" i="5" s="1"/>
  <c r="Q22" i="5"/>
  <c r="O6" i="5" l="1"/>
  <c r="P6" i="5"/>
  <c r="K48" i="8"/>
  <c r="J15" i="6"/>
  <c r="J48" i="6" s="1"/>
  <c r="L2" i="6"/>
  <c r="L15" i="6" s="1"/>
  <c r="M2" i="6"/>
  <c r="M15" i="6" s="1"/>
  <c r="K2" i="6"/>
  <c r="K15" i="6" s="1"/>
  <c r="I65" i="8"/>
  <c r="D61" i="8"/>
  <c r="E60" i="8" s="1"/>
  <c r="E61" i="8" s="1"/>
  <c r="F60" i="8" s="1"/>
  <c r="F61" i="8" s="1"/>
  <c r="G60" i="8" s="1"/>
  <c r="G61" i="8" s="1"/>
  <c r="H60" i="8" s="1"/>
  <c r="H61" i="8" s="1"/>
  <c r="I60" i="8" s="1"/>
  <c r="I61" i="8" s="1"/>
  <c r="J60" i="8" s="1"/>
  <c r="J46" i="7"/>
  <c r="K46" i="7"/>
  <c r="L23" i="7"/>
  <c r="L36" i="7" s="1"/>
  <c r="L45" i="7"/>
  <c r="L2" i="7"/>
  <c r="M3" i="7"/>
  <c r="M2" i="7" s="1"/>
  <c r="F38" i="6"/>
  <c r="F39" i="6"/>
  <c r="C39" i="6"/>
  <c r="C38" i="6"/>
  <c r="E39" i="6"/>
  <c r="E38" i="6"/>
  <c r="H38" i="6"/>
  <c r="H39" i="6"/>
  <c r="I39" i="6"/>
  <c r="I38" i="6"/>
  <c r="D38" i="6"/>
  <c r="D39" i="6"/>
  <c r="Q23" i="5"/>
  <c r="Q6" i="5" l="1"/>
  <c r="L48" i="8"/>
  <c r="J17" i="6"/>
  <c r="J18" i="6" s="1"/>
  <c r="J30" i="6"/>
  <c r="J40" i="7" s="1"/>
  <c r="L48" i="6"/>
  <c r="L30" i="6"/>
  <c r="L17" i="6"/>
  <c r="L18" i="6" s="1"/>
  <c r="K48" i="6"/>
  <c r="K17" i="6"/>
  <c r="K30" i="6"/>
  <c r="M17" i="6"/>
  <c r="M18" i="6" s="1"/>
  <c r="M48" i="6"/>
  <c r="M30" i="6"/>
  <c r="L46" i="7"/>
  <c r="M45" i="7"/>
  <c r="M23" i="7"/>
  <c r="M36" i="7" s="1"/>
  <c r="R6" i="5" l="1"/>
  <c r="M48" i="8"/>
  <c r="J35" i="6"/>
  <c r="J17" i="8"/>
  <c r="J31" i="8" s="1"/>
  <c r="L35" i="6"/>
  <c r="L4" i="8"/>
  <c r="L17" i="8" s="1"/>
  <c r="L31" i="8" s="1"/>
  <c r="L64" i="8" s="1"/>
  <c r="L65" i="8" s="1"/>
  <c r="Q33" i="5"/>
  <c r="M4" i="8"/>
  <c r="M17" i="8" s="1"/>
  <c r="M31" i="8" s="1"/>
  <c r="M64" i="8" s="1"/>
  <c r="M65" i="8" s="1"/>
  <c r="M35" i="6"/>
  <c r="K4" i="8"/>
  <c r="K17" i="8" s="1"/>
  <c r="K31" i="8" s="1"/>
  <c r="K35" i="6"/>
  <c r="Q32" i="5"/>
  <c r="Q36" i="5" s="1"/>
  <c r="M46" i="7"/>
  <c r="J64" i="8" l="1"/>
  <c r="J65" i="8" s="1"/>
  <c r="J59" i="8"/>
  <c r="J61" i="8" s="1"/>
  <c r="J38" i="6"/>
  <c r="J39" i="6"/>
  <c r="L38" i="6"/>
  <c r="L39" i="6"/>
  <c r="K39" i="6"/>
  <c r="K38" i="6"/>
  <c r="K64" i="8"/>
  <c r="M38" i="6"/>
  <c r="M39" i="6"/>
  <c r="K60" i="8" l="1"/>
  <c r="M54" i="8"/>
  <c r="M55" i="8" s="1"/>
  <c r="M59" i="8" s="1"/>
  <c r="R15" i="5"/>
  <c r="K65" i="8"/>
  <c r="Q35" i="5"/>
  <c r="Q38" i="5" s="1"/>
  <c r="L54" i="8"/>
  <c r="Q15" i="5"/>
  <c r="K55" i="8" l="1"/>
  <c r="K59" i="8" s="1"/>
  <c r="K61" i="8" s="1"/>
  <c r="K38" i="7"/>
  <c r="K40" i="7" s="1"/>
  <c r="J10" i="7"/>
  <c r="J20" i="7" s="1"/>
  <c r="J41" i="7" s="1"/>
  <c r="O7" i="5"/>
  <c r="O10" i="5" s="1"/>
  <c r="O14" i="5" s="1"/>
  <c r="O16" i="5" s="1"/>
  <c r="J47" i="7"/>
  <c r="L55" i="8"/>
  <c r="L59" i="8" s="1"/>
  <c r="Q34" i="5"/>
  <c r="Q39" i="5" s="1"/>
  <c r="L38" i="7" l="1"/>
  <c r="M38" i="7" s="1"/>
  <c r="M40" i="7" s="1"/>
  <c r="K18" i="7"/>
  <c r="L60" i="8"/>
  <c r="L61" i="8" s="1"/>
  <c r="M60" i="8" s="1"/>
  <c r="M61" i="8" s="1"/>
  <c r="M18" i="7" s="1"/>
  <c r="L40" i="7" l="1"/>
  <c r="L18" i="7"/>
  <c r="L47" i="7" s="1"/>
  <c r="K10" i="7"/>
  <c r="K20" i="7" s="1"/>
  <c r="K41" i="7" s="1"/>
  <c r="K47" i="7"/>
  <c r="P7" i="5"/>
  <c r="M10" i="7"/>
  <c r="M20" i="7" s="1"/>
  <c r="M41" i="7" s="1"/>
  <c r="R7" i="5"/>
  <c r="M47" i="7"/>
  <c r="L10" i="7" l="1"/>
  <c r="L20" i="7" s="1"/>
  <c r="L41" i="7" s="1"/>
  <c r="Q7" i="5"/>
  <c r="Q31" i="5" s="1"/>
  <c r="Q37" i="5" s="1"/>
  <c r="C38" i="5" l="1"/>
  <c r="E38" i="5" l="1"/>
  <c r="D38" i="5"/>
  <c r="F38" i="5"/>
  <c r="I9" i="5" l="1"/>
  <c r="J9" i="5" s="1"/>
  <c r="I11" i="5"/>
  <c r="J11" i="5" s="1"/>
  <c r="I2" i="5"/>
  <c r="J2" i="5" s="1"/>
  <c r="I5" i="5"/>
  <c r="J5" i="5" s="1"/>
  <c r="I8" i="5"/>
  <c r="J8" i="5" s="1"/>
  <c r="I7" i="5"/>
  <c r="J7" i="5" s="1"/>
  <c r="I6" i="5"/>
  <c r="J6" i="5" s="1"/>
  <c r="I4" i="5"/>
  <c r="J4" i="5" s="1"/>
  <c r="I3" i="5"/>
  <c r="J3" i="5" s="1"/>
  <c r="I10" i="5"/>
  <c r="J10" i="5" s="1"/>
  <c r="D37" i="5"/>
  <c r="C37" i="5"/>
  <c r="E37" i="5"/>
  <c r="F37" i="5"/>
  <c r="I17" i="5" l="1"/>
  <c r="J17" i="5" s="1"/>
  <c r="I12" i="5"/>
  <c r="J12" i="5" s="1"/>
  <c r="I14" i="5"/>
  <c r="J14" i="5" s="1"/>
  <c r="I15" i="5"/>
  <c r="J15" i="5" s="1"/>
  <c r="I18" i="5"/>
  <c r="J18" i="5" s="1"/>
  <c r="I19" i="5"/>
  <c r="J19" i="5" s="1"/>
  <c r="I13" i="5"/>
  <c r="J13" i="5" s="1"/>
  <c r="I16" i="5"/>
  <c r="J16" i="5" s="1"/>
  <c r="S5" i="5" l="1"/>
  <c r="S10" i="5"/>
  <c r="S14" i="5" s="1"/>
  <c r="S16" i="5" s="1"/>
  <c r="Q5" i="5"/>
  <c r="Q10" i="5" s="1"/>
  <c r="Q14" i="5" s="1"/>
  <c r="Q16" i="5" s="1"/>
  <c r="R5" i="5"/>
  <c r="P5" i="5"/>
  <c r="S20" i="5" l="1"/>
  <c r="Q20" i="5"/>
  <c r="R20" i="5"/>
  <c r="R10" i="5"/>
  <c r="R14" i="5" s="1"/>
  <c r="R16" i="5" s="1"/>
  <c r="P20" i="5"/>
  <c r="P10" i="5"/>
  <c r="P14" i="5" s="1"/>
  <c r="P16" i="5" s="1"/>
</calcChain>
</file>

<file path=xl/comments1.xml><?xml version="1.0" encoding="utf-8"?>
<comments xmlns="http://schemas.openxmlformats.org/spreadsheetml/2006/main">
  <authors>
    <author>Full name</author>
  </authors>
  <commentList>
    <comment ref="S29" authorId="0">
      <text>
        <r>
          <rPr>
            <b/>
            <sz val="9"/>
            <color indexed="81"/>
            <rFont val="Tahoma"/>
            <family val="2"/>
          </rPr>
          <t xml:space="preserve">Next Twelve Months
</t>
        </r>
      </text>
    </comment>
    <comment ref="B31" authorId="0">
      <text>
        <r>
          <rPr>
            <b/>
            <sz val="9"/>
            <color indexed="81"/>
            <rFont val="Tahoma"/>
            <family val="2"/>
          </rPr>
          <t>If it´s Tsuneishi Cebu</t>
        </r>
      </text>
    </comment>
  </commentList>
</comments>
</file>

<file path=xl/comments2.xml><?xml version="1.0" encoding="utf-8"?>
<comments xmlns="http://schemas.openxmlformats.org/spreadsheetml/2006/main">
  <authors>
    <author>Full name</author>
  </authors>
  <commentList>
    <comment ref="K58" authorId="0">
      <text>
        <r>
          <rPr>
            <b/>
            <sz val="9"/>
            <color indexed="81"/>
            <rFont val="Tahoma"/>
            <family val="2"/>
          </rPr>
          <t>1 x NB Suezmaxes</t>
        </r>
      </text>
    </comment>
  </commentList>
</comments>
</file>

<file path=xl/sharedStrings.xml><?xml version="1.0" encoding="utf-8"?>
<sst xmlns="http://schemas.openxmlformats.org/spreadsheetml/2006/main" count="459" uniqueCount="278">
  <si>
    <t>Okeanis Eco Tankers Corp.</t>
  </si>
  <si>
    <t>Copyright:</t>
  </si>
  <si>
    <t>DISCLAIMER</t>
  </si>
  <si>
    <t>The financial models and projections provided herein are based on internal assumptions, historical data, and current market trends (such as charter rates, fuel costs, and vessel valuations) which are subject to high volatility and change without notice.</t>
  </si>
  <si>
    <t>These models are intended for illustrative and informational purposes only. They do not constitute financial, investment, or legal advice. While we strive for accuracy, we make no guarantees regarding the future performance of any asset or the realization of the projected returns.</t>
  </si>
  <si>
    <t xml:space="preserve">In green: </t>
  </si>
  <si>
    <t>Data copied from last quarter or reported by company</t>
  </si>
  <si>
    <t>In blue:</t>
  </si>
  <si>
    <t>Our own assumption</t>
  </si>
  <si>
    <t>In black:</t>
  </si>
  <si>
    <t>Automatically filled</t>
  </si>
  <si>
    <t>In yellow</t>
  </si>
  <si>
    <t>Yellow cells can be changed to make assumptions</t>
  </si>
  <si>
    <t>NAV Tab Content</t>
  </si>
  <si>
    <t>Fleet list:</t>
  </si>
  <si>
    <t>Price to update:</t>
  </si>
  <si>
    <t>NAV calculation:</t>
  </si>
  <si>
    <t>Net Asset Value calculation</t>
  </si>
  <si>
    <t xml:space="preserve">Adjusted fleet value: </t>
  </si>
  <si>
    <t>Value growth in %:</t>
  </si>
  <si>
    <t>Scrubbers:</t>
  </si>
  <si>
    <t>How many scrubbers are installed in the vessels, reported by the company.</t>
  </si>
  <si>
    <t>Fleet :</t>
  </si>
  <si>
    <t>How many vessels has the company</t>
  </si>
  <si>
    <t>% Fleet with scrubber:</t>
  </si>
  <si>
    <t>As it titles says, % fleet with scrubber</t>
  </si>
  <si>
    <t>TCE:</t>
  </si>
  <si>
    <t>Time Charter Equivalent, based in data reported by the company or own assumptions</t>
  </si>
  <si>
    <t>Financial data:</t>
  </si>
  <si>
    <t>Market Cap, Enterprise Value, Adjusted Earnings, Adjusted EBITDA, Levered FCF, Adjusted P/E, Adjusted EV/EBITDA and P/FCF</t>
  </si>
  <si>
    <t>Linear Estimation:</t>
  </si>
  <si>
    <t>Don´t remove or change this data. It´s to automatically calculate vessels value from the Master</t>
  </si>
  <si>
    <t>Fleet colours by status:</t>
  </si>
  <si>
    <t>No color:</t>
  </si>
  <si>
    <t>In the fleet list</t>
  </si>
  <si>
    <t>Pink:</t>
  </si>
  <si>
    <t>Sold vessel reported by the company</t>
  </si>
  <si>
    <t>Orange:</t>
  </si>
  <si>
    <t>P&amp;L Tab Content</t>
  </si>
  <si>
    <t>P&amp;L from company reports</t>
  </si>
  <si>
    <t>Operating days:</t>
  </si>
  <si>
    <t>You can change it on your own</t>
  </si>
  <si>
    <t>TCE revenue per vessel:</t>
  </si>
  <si>
    <t>Operating days x TCE assumption</t>
  </si>
  <si>
    <t xml:space="preserve">BALANCE Tab Content </t>
  </si>
  <si>
    <t>Balance from company reports</t>
  </si>
  <si>
    <t>Debt:</t>
  </si>
  <si>
    <t xml:space="preserve">Working Capital: </t>
  </si>
  <si>
    <t>Working Capital calculation</t>
  </si>
  <si>
    <t xml:space="preserve">CapEx: </t>
  </si>
  <si>
    <t>CapEx Assumption that you can change on your own</t>
  </si>
  <si>
    <t>We keep forward "Working Capital" like last quarter</t>
  </si>
  <si>
    <t>CASH FLOW Tab Content</t>
  </si>
  <si>
    <t>Cash Flow from company reports</t>
  </si>
  <si>
    <t>Levered and Unlevered FCF calculation</t>
  </si>
  <si>
    <t>Vessel</t>
  </si>
  <si>
    <t>Type</t>
  </si>
  <si>
    <t>Yard</t>
  </si>
  <si>
    <t>Country</t>
  </si>
  <si>
    <t>Ownership</t>
  </si>
  <si>
    <t>Built</t>
  </si>
  <si>
    <t>Premium</t>
  </si>
  <si>
    <t>Scrub.</t>
  </si>
  <si>
    <t>Price:</t>
  </si>
  <si>
    <t>Milos</t>
  </si>
  <si>
    <t>Suezmax</t>
  </si>
  <si>
    <t>Sungdong</t>
  </si>
  <si>
    <t>S. Korea</t>
  </si>
  <si>
    <t>Poliegos</t>
  </si>
  <si>
    <t>Kimolos</t>
  </si>
  <si>
    <t xml:space="preserve">Japan Marine </t>
  </si>
  <si>
    <t>Japan</t>
  </si>
  <si>
    <t>Net Asset Value</t>
  </si>
  <si>
    <t>Q1 2026</t>
  </si>
  <si>
    <t>Q2 2026</t>
  </si>
  <si>
    <t>Q3 2026</t>
  </si>
  <si>
    <t>Q4 2026</t>
  </si>
  <si>
    <t>Q1 2027</t>
  </si>
  <si>
    <t>Folegandros</t>
  </si>
  <si>
    <t>Fleet Value</t>
  </si>
  <si>
    <t>Nissos Sikinos</t>
  </si>
  <si>
    <t>Hyundai Samho</t>
  </si>
  <si>
    <t>Financial Debt</t>
  </si>
  <si>
    <t>Nissos Sifnos</t>
  </si>
  <si>
    <t>Cash</t>
  </si>
  <si>
    <t>Nissos Piperi</t>
  </si>
  <si>
    <t>Daehan</t>
  </si>
  <si>
    <t>Working Capital</t>
  </si>
  <si>
    <t>Nissos Serifopoula</t>
  </si>
  <si>
    <t>Scrubbers</t>
  </si>
  <si>
    <t>Net Assets</t>
  </si>
  <si>
    <t>Nissos Rhenia</t>
  </si>
  <si>
    <t>VLCC</t>
  </si>
  <si>
    <t>Hyundai HI</t>
  </si>
  <si>
    <t>Shares Outstanding</t>
  </si>
  <si>
    <t>Nissos Despotiko</t>
  </si>
  <si>
    <t>Nissos Donoussa</t>
  </si>
  <si>
    <t>Net Asset Value $/sh</t>
  </si>
  <si>
    <t>Nissos Kythnos</t>
  </si>
  <si>
    <t>Más DIVI</t>
  </si>
  <si>
    <t>Nissos Keros</t>
  </si>
  <si>
    <t>P / NAV</t>
  </si>
  <si>
    <t>Nissos Anafi</t>
  </si>
  <si>
    <t>Nissos Kea</t>
  </si>
  <si>
    <t>Nissos Nikouria</t>
  </si>
  <si>
    <t>HHI-Ulsan</t>
  </si>
  <si>
    <t>Asjusted Fleet Value</t>
  </si>
  <si>
    <t>Value Growth in %</t>
  </si>
  <si>
    <t>Scrubber</t>
  </si>
  <si>
    <t>Fleet</t>
  </si>
  <si>
    <t>Sold</t>
  </si>
  <si>
    <t>% Fleet with scrubber</t>
  </si>
  <si>
    <t>Newbuilding</t>
  </si>
  <si>
    <t>TCE VLCC</t>
  </si>
  <si>
    <t>TCE Suezmax</t>
  </si>
  <si>
    <t>Premium by Country:</t>
  </si>
  <si>
    <t>% Spot</t>
  </si>
  <si>
    <t>Korea</t>
  </si>
  <si>
    <t>*in millions USD, except multiples</t>
  </si>
  <si>
    <t>FY 2026</t>
  </si>
  <si>
    <t>NTM</t>
  </si>
  <si>
    <t>Phillippines</t>
  </si>
  <si>
    <t>Market Value</t>
  </si>
  <si>
    <t>Neutral</t>
  </si>
  <si>
    <t>EV</t>
  </si>
  <si>
    <t>Diluted Adj. EPS</t>
  </si>
  <si>
    <t>Adj. EBITDA</t>
  </si>
  <si>
    <t>Dividend</t>
  </si>
  <si>
    <t>Levered FCF</t>
  </si>
  <si>
    <t>Adjusted P/E</t>
  </si>
  <si>
    <t>EV/Adj. EBITDA</t>
  </si>
  <si>
    <t>P/FCF</t>
  </si>
  <si>
    <t>Dividend Yield</t>
  </si>
  <si>
    <t>Okeanis (in US Dollars)</t>
  </si>
  <si>
    <t>Q1 2025</t>
  </si>
  <si>
    <t>Q2 2025</t>
  </si>
  <si>
    <t>Q3 2025</t>
  </si>
  <si>
    <t>Q4 2025</t>
  </si>
  <si>
    <t>Revenue</t>
  </si>
  <si>
    <t>Operating expenses</t>
  </si>
  <si>
    <t>Commisions</t>
  </si>
  <si>
    <t>Voyage expenses</t>
  </si>
  <si>
    <t>Vessel operating expenses</t>
  </si>
  <si>
    <t>Management fees - related party</t>
  </si>
  <si>
    <t>D&amp;A</t>
  </si>
  <si>
    <t>G&amp;A</t>
  </si>
  <si>
    <t>Impairment loss on classification of vessels as held for sale</t>
  </si>
  <si>
    <t>Net gain on disposal of vessels</t>
  </si>
  <si>
    <t>Total operating expenses</t>
  </si>
  <si>
    <t>Operating (loss)/profit</t>
  </si>
  <si>
    <t>EBITDA</t>
  </si>
  <si>
    <t>Adjusted EBITDA</t>
  </si>
  <si>
    <t>Other income / (expenses)</t>
  </si>
  <si>
    <t>Interest income</t>
  </si>
  <si>
    <t>Interest expense and other finance costs</t>
  </si>
  <si>
    <t>Unrealized (loss) / gain, net on derivatives</t>
  </si>
  <si>
    <t>Realized gain / (loss), net on derivatives</t>
  </si>
  <si>
    <t>Gain / (loss) on debt extinguishment</t>
  </si>
  <si>
    <t>Gain from modification of loans</t>
  </si>
  <si>
    <t>Foreign exchange gain / (loss)</t>
  </si>
  <si>
    <t>Total other income / (expenses)</t>
  </si>
  <si>
    <t>Profit/(loss) after tax</t>
  </si>
  <si>
    <t>Other comprehensive income / (loss)</t>
  </si>
  <si>
    <t>Items that will not be reclassified to profit or loss:</t>
  </si>
  <si>
    <t>Re-measurement of post-employment benefit obligations</t>
  </si>
  <si>
    <t>Total comprehensive (loss)/income for the year</t>
  </si>
  <si>
    <t>Basic earnings/(loss) per share</t>
  </si>
  <si>
    <t>Diluted earnings/(loss) per share</t>
  </si>
  <si>
    <t>Weighted average number of shares (basic)</t>
  </si>
  <si>
    <t>Weighted average number of shares (diluted)</t>
  </si>
  <si>
    <t>Adjusted Profit after tax</t>
  </si>
  <si>
    <t>x</t>
  </si>
  <si>
    <t>Operating Days</t>
  </si>
  <si>
    <t>TCE revenue per vessel</t>
  </si>
  <si>
    <t>Non-Current Assets</t>
  </si>
  <si>
    <t>Vessels, net</t>
  </si>
  <si>
    <t>Advances for acquisition of vessels</t>
  </si>
  <si>
    <t>Other non-current assets</t>
  </si>
  <si>
    <t>Other fixed assets</t>
  </si>
  <si>
    <t>Derivative financial instruments</t>
  </si>
  <si>
    <t>Restricted cash</t>
  </si>
  <si>
    <t>Current Assets</t>
  </si>
  <si>
    <t>Inventories</t>
  </si>
  <si>
    <t>Trade and other receivables</t>
  </si>
  <si>
    <t>Claims receivable</t>
  </si>
  <si>
    <t>Prepaid expenses and other current assets</t>
  </si>
  <si>
    <t>Current accounts due from related parties</t>
  </si>
  <si>
    <t>Current portion of restricted cash</t>
  </si>
  <si>
    <t>Cash and cash equivalents</t>
  </si>
  <si>
    <t>Total Assets</t>
  </si>
  <si>
    <t>Non-Current liabilities</t>
  </si>
  <si>
    <t>Long-term borrowings, net of current portion</t>
  </si>
  <si>
    <t>Retirement benefit obligations</t>
  </si>
  <si>
    <t>Other non-current liabilities</t>
  </si>
  <si>
    <t>Current Liabilities</t>
  </si>
  <si>
    <t>Trade payables</t>
  </si>
  <si>
    <t>Accrued expenses</t>
  </si>
  <si>
    <t>Deferred revenue</t>
  </si>
  <si>
    <t>Current accounts due to related parties</t>
  </si>
  <si>
    <t>Current portion of long-term borrowings</t>
  </si>
  <si>
    <t>Total Liabilities</t>
  </si>
  <si>
    <t>Total shareholders´ Equity</t>
  </si>
  <si>
    <t>Total Equity and Liabilities</t>
  </si>
  <si>
    <t>Check</t>
  </si>
  <si>
    <t>Debt</t>
  </si>
  <si>
    <t>Growth rate YoY %</t>
  </si>
  <si>
    <t>Net Financial Debt</t>
  </si>
  <si>
    <t>Growth rate YoY%</t>
  </si>
  <si>
    <t>Growth WC %</t>
  </si>
  <si>
    <t>CapEx</t>
  </si>
  <si>
    <t>CASH FLOW FROM OPERATING ACTIVITIES</t>
  </si>
  <si>
    <t>Profit/(loss) for the period</t>
  </si>
  <si>
    <t>Adjustments:</t>
  </si>
  <si>
    <t>Depreciation</t>
  </si>
  <si>
    <t>Interest expense</t>
  </si>
  <si>
    <t>Amortization of loan financing fees</t>
  </si>
  <si>
    <t>(Gain) / loss on debt extinguishment</t>
  </si>
  <si>
    <t>Other non-cash items</t>
  </si>
  <si>
    <t>Impairment loss</t>
  </si>
  <si>
    <t>Unrealized foreign exchange (gain) / loss</t>
  </si>
  <si>
    <t>Total reconciliation adjustments</t>
  </si>
  <si>
    <t>Changes in working capital:</t>
  </si>
  <si>
    <t>Collections / (due) from related parties</t>
  </si>
  <si>
    <t>Due to related parties</t>
  </si>
  <si>
    <t>Interest paid</t>
  </si>
  <si>
    <t>Net Cash provided by operating activities</t>
  </si>
  <si>
    <t>CASH FLOWS FROM INVESTING ACTIVITIES</t>
  </si>
  <si>
    <t>Payments for other fixed assets</t>
  </si>
  <si>
    <t>Proceeds from vessels disposal</t>
  </si>
  <si>
    <t>Decrease in restricted cash</t>
  </si>
  <si>
    <t>Increase in restricted cash</t>
  </si>
  <si>
    <t>Payments for special survey and dry-docking costs</t>
  </si>
  <si>
    <t>Payments for vessels and vessels under construction</t>
  </si>
  <si>
    <t>Interest received</t>
  </si>
  <si>
    <t>Investing Cash Flow</t>
  </si>
  <si>
    <t>CASH FLOWS FROM FINANCING ACTIVITES</t>
  </si>
  <si>
    <t>Proceeds from long-term borrowings</t>
  </si>
  <si>
    <t>Repayments of long-term borrowings</t>
  </si>
  <si>
    <t>Net proceeds from common shares issuance</t>
  </si>
  <si>
    <t>Capital distribution</t>
  </si>
  <si>
    <t>Payment of loan financing fees</t>
  </si>
  <si>
    <t xml:space="preserve">Acquisition of common stock </t>
  </si>
  <si>
    <t>Dividends paid</t>
  </si>
  <si>
    <t>Financing Cash Flow</t>
  </si>
  <si>
    <t>Net foreign exchange difference</t>
  </si>
  <si>
    <t>Change in cash and cash equivalents</t>
  </si>
  <si>
    <t>Cash BoP</t>
  </si>
  <si>
    <t>Cash EoP</t>
  </si>
  <si>
    <t>UnLevered FCF</t>
  </si>
  <si>
    <t>OET, ECO</t>
  </si>
  <si>
    <t>Age</t>
  </si>
  <si>
    <t>Value</t>
  </si>
  <si>
    <t>Remember: If you want to make assumptions, just change yellow cells</t>
  </si>
  <si>
    <t>ourios.com</t>
  </si>
  <si>
    <t>info@ourios.com</t>
  </si>
  <si>
    <t>Ourios Analytics</t>
  </si>
  <si>
    <r>
      <t xml:space="preserve">Authorized use must strictly include a clear citation of the source: </t>
    </r>
    <r>
      <rPr>
        <b/>
        <sz val="11"/>
        <color theme="1"/>
        <rFont val="Calibri"/>
        <family val="2"/>
        <scheme val="minor"/>
      </rPr>
      <t>"Source: Ourios Analytics"</t>
    </r>
    <r>
      <rPr>
        <sz val="11"/>
        <color theme="1"/>
        <rFont val="Calibri"/>
        <family val="2"/>
        <scheme val="minor"/>
      </rPr>
      <t>.</t>
    </r>
  </si>
  <si>
    <t>This Excel model and its contents are the exclusive property of Ourios Analytics. No part of this file may be reproduced, distributed, transmitted, or shared in any form or by any means, without the prior written permission of Ourios Analytics.</t>
  </si>
  <si>
    <t>COPYRIGHT</t>
  </si>
  <si>
    <t>COLORS USED IN FINANCIAL DATA</t>
  </si>
  <si>
    <t>Nissos Tigani</t>
  </si>
  <si>
    <t>Newbuilding or acquired vessel reported by the company</t>
  </si>
  <si>
    <t>Estimating revenues are from TCE and operating days. For that reason, voyage expenses use to be in grey background. We prepare the TCE revenues looking at what the company say about it.</t>
  </si>
  <si>
    <t>Notes:</t>
  </si>
  <si>
    <t>-</t>
  </si>
  <si>
    <t>Vessel name, type of vessel, year built, Yard, Country, scrubber, neutral value and corrected value by premium coefficient</t>
  </si>
  <si>
    <t>Blue:</t>
  </si>
  <si>
    <t>Chartered-in or Bareboat-in</t>
  </si>
  <si>
    <t>Share price, that it´s update from Valuations_Master</t>
  </si>
  <si>
    <t>Change this coefficient if you think the value is going up or down. Default we leave it in 1.</t>
  </si>
  <si>
    <t>Change in % between quarters</t>
  </si>
  <si>
    <t>Coefficient added by premium:</t>
  </si>
  <si>
    <t>Correction factor depending on the country of construction or others</t>
  </si>
  <si>
    <t>Debt - Cash and cash equivalents</t>
  </si>
  <si>
    <t>To calculate debt, we join current and long term debt. We take into account what the company says and when not, we subtract a quarter of the short-term debt, to make an estimation</t>
  </si>
  <si>
    <t>We calculate CapEx from company reports and, if not available, we make our own assumption. You can change it on your own</t>
  </si>
  <si>
    <t>Nissos Vous</t>
  </si>
  <si>
    <t>Q2 2027</t>
  </si>
</sst>
</file>

<file path=xl/styles.xml><?xml version="1.0" encoding="utf-8"?>
<styleSheet xmlns="http://schemas.openxmlformats.org/spreadsheetml/2006/main" xmlns:mc="http://schemas.openxmlformats.org/markup-compatibility/2006" xmlns:x14ac="http://schemas.microsoft.com/office/spreadsheetml/2009/9/ac" mc:Ignorable="x14ac">
  <numFmts count="14">
    <numFmt numFmtId="164" formatCode="_-* #,##0.00_-;\-* #,##0.00_-;_-* &quot;-&quot;??_-;_-@_-"/>
    <numFmt numFmtId="165" formatCode="_ * #,##0.00_ ;_ * \-#,##0.00_ ;_ * &quot;-&quot;??_ ;_ @_ "/>
    <numFmt numFmtId="166" formatCode="_ &quot;kr.&quot;\ * #,##0.00_ ;_ &quot;kr.&quot;\ * \-#,##0.00_ ;_ &quot;kr.&quot;\ * &quot;-&quot;??_ ;_ @_ "/>
    <numFmt numFmtId="167" formatCode="#,##0.0_);\(#,##0.0\)"/>
    <numFmt numFmtId="168" formatCode="_-* #,##0.00\ _€_-;\-* #,##0.00\ _€_-;_-* &quot;-&quot;??\ _€_-;_-@_-"/>
    <numFmt numFmtId="169" formatCode="_-* #,##0.00\ &quot;€&quot;_-;\-* #,##0.00\ &quot;€&quot;_-;_-* &quot;-&quot;??\ &quot;€&quot;_-;_-@_-"/>
    <numFmt numFmtId="170" formatCode="0.00_);\(0.00\)"/>
    <numFmt numFmtId="171" formatCode="0.0"/>
    <numFmt numFmtId="172" formatCode="#,##0.00;\(#,##0.00\);&quot;-&quot;"/>
    <numFmt numFmtId="173" formatCode="0.000"/>
    <numFmt numFmtId="174" formatCode="0.0%"/>
    <numFmt numFmtId="175" formatCode="#,##0;\(#,##0\);&quot;-&quot;"/>
    <numFmt numFmtId="176" formatCode="0.00\x"/>
    <numFmt numFmtId="177" formatCode="#,##0.0;\(#,##0.0\);&quot;-&quot;"/>
  </numFmts>
  <fonts count="24" x14ac:knownFonts="1">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u/>
      <sz val="11"/>
      <color theme="10"/>
      <name val="Calibri"/>
      <family val="2"/>
      <scheme val="minor"/>
    </font>
    <font>
      <sz val="10"/>
      <color theme="1"/>
      <name val="Arial"/>
      <family val="2"/>
    </font>
    <font>
      <sz val="11"/>
      <color rgb="FF00B050"/>
      <name val="Calibri"/>
      <family val="2"/>
      <scheme val="minor"/>
    </font>
    <font>
      <sz val="11"/>
      <color rgb="FF0000FF"/>
      <name val="Calibri"/>
      <family val="2"/>
      <scheme val="minor"/>
    </font>
    <font>
      <sz val="10"/>
      <color rgb="FF0000FF"/>
      <name val="Arial"/>
      <family val="2"/>
    </font>
    <font>
      <u/>
      <sz val="11"/>
      <color theme="1"/>
      <name val="Calibri"/>
      <family val="2"/>
      <scheme val="minor"/>
    </font>
    <font>
      <sz val="8"/>
      <name val="Arial"/>
      <family val="2"/>
    </font>
    <font>
      <sz val="9"/>
      <color theme="1"/>
      <name val="Arial"/>
      <family val="2"/>
      <charset val="204"/>
    </font>
    <font>
      <b/>
      <sz val="9"/>
      <color rgb="FF002060"/>
      <name val="Arial"/>
      <family val="2"/>
      <charset val="204"/>
    </font>
    <font>
      <sz val="12"/>
      <color theme="1"/>
      <name val="Calibri"/>
      <family val="2"/>
      <scheme val="minor"/>
    </font>
    <font>
      <sz val="11"/>
      <color theme="1"/>
      <name val="Calibri"/>
      <family val="2"/>
      <charset val="204"/>
      <scheme val="minor"/>
    </font>
    <font>
      <sz val="10"/>
      <name val="Tahoma"/>
      <family val="2"/>
    </font>
    <font>
      <b/>
      <sz val="11"/>
      <color rgb="FF00B050"/>
      <name val="Calibri"/>
      <family val="2"/>
      <scheme val="minor"/>
    </font>
    <font>
      <b/>
      <sz val="11"/>
      <color rgb="FF0000FF"/>
      <name val="Calibri"/>
      <family val="2"/>
      <scheme val="minor"/>
    </font>
    <font>
      <b/>
      <sz val="9"/>
      <color theme="1"/>
      <name val="Calibri"/>
      <family val="2"/>
      <scheme val="minor"/>
    </font>
    <font>
      <b/>
      <sz val="9"/>
      <color indexed="81"/>
      <name val="Tahoma"/>
      <family val="2"/>
    </font>
    <font>
      <b/>
      <i/>
      <sz val="11"/>
      <color theme="1"/>
      <name val="Calibri"/>
      <family val="2"/>
      <scheme val="minor"/>
    </font>
    <font>
      <i/>
      <sz val="9.5"/>
      <color theme="1"/>
      <name val="Calibri"/>
      <family val="2"/>
      <scheme val="minor"/>
    </font>
    <font>
      <b/>
      <sz val="10"/>
      <color theme="0"/>
      <name val="Arial"/>
      <family val="2"/>
    </font>
  </fonts>
  <fills count="13">
    <fill>
      <patternFill patternType="none"/>
    </fill>
    <fill>
      <patternFill patternType="gray125"/>
    </fill>
    <fill>
      <patternFill patternType="solid">
        <fgColor theme="8" tint="0.79998168889431442"/>
        <bgColor indexed="64"/>
      </patternFill>
    </fill>
    <fill>
      <patternFill patternType="solid">
        <fgColor rgb="FFFCFA9C"/>
        <bgColor indexed="64"/>
      </patternFill>
    </fill>
    <fill>
      <patternFill patternType="solid">
        <fgColor rgb="FFFFCCCC"/>
        <bgColor indexed="64"/>
      </patternFill>
    </fill>
    <fill>
      <patternFill patternType="solid">
        <fgColor rgb="FFFFFF99"/>
        <bgColor indexed="64"/>
      </patternFill>
    </fill>
    <fill>
      <patternFill patternType="solid">
        <fgColor theme="0"/>
        <bgColor indexed="64"/>
      </patternFill>
    </fill>
    <fill>
      <patternFill patternType="solid">
        <fgColor theme="1"/>
        <bgColor indexed="64"/>
      </patternFill>
    </fill>
    <fill>
      <patternFill patternType="solid">
        <fgColor theme="2" tint="-0.249977111117893"/>
        <bgColor indexed="64"/>
      </patternFill>
    </fill>
    <fill>
      <patternFill patternType="solid">
        <fgColor rgb="FFFFC000"/>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theme="0" tint="-4.9989318521683403E-2"/>
        <bgColor indexed="64"/>
      </patternFill>
    </fill>
  </fills>
  <borders count="17">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top/>
      <bottom style="medium">
        <color rgb="FF002060"/>
      </bottom>
      <diagonal/>
    </border>
    <border>
      <left style="thin">
        <color theme="0"/>
      </left>
      <right style="thin">
        <color theme="0"/>
      </right>
      <top style="thin">
        <color theme="0"/>
      </top>
      <bottom style="thin">
        <color theme="0"/>
      </bottom>
      <diagonal/>
    </border>
    <border>
      <left style="medium">
        <color indexed="64"/>
      </left>
      <right style="thick">
        <color indexed="64"/>
      </right>
      <top style="thick">
        <color indexed="64"/>
      </top>
      <bottom style="thick">
        <color indexed="64"/>
      </bottom>
      <diagonal/>
    </border>
    <border>
      <left style="thick">
        <color indexed="64"/>
      </left>
      <right style="thick">
        <color indexed="64"/>
      </right>
      <top style="thick">
        <color indexed="64"/>
      </top>
      <bottom style="thick">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s>
  <cellStyleXfs count="28">
    <xf numFmtId="0" fontId="0" fillId="0" borderId="0"/>
    <xf numFmtId="9" fontId="1" fillId="0" borderId="0" applyFont="0" applyFill="0" applyBorder="0" applyAlignment="0" applyProtection="0"/>
    <xf numFmtId="0" fontId="5" fillId="0" borderId="0" applyNumberForma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5" fontId="11" fillId="0" borderId="0" applyFont="0" applyFill="0" applyBorder="0" applyAlignment="0" applyProtection="0"/>
    <xf numFmtId="166" fontId="1" fillId="0" borderId="0" applyFont="0" applyFill="0" applyBorder="0" applyAlignment="0" applyProtection="0"/>
    <xf numFmtId="167" fontId="12" fillId="6" borderId="0"/>
    <xf numFmtId="0" fontId="13" fillId="6" borderId="11">
      <alignment horizontal="right"/>
    </xf>
    <xf numFmtId="164" fontId="1" fillId="0" borderId="0" applyFont="0" applyFill="0" applyBorder="0" applyAlignment="0" applyProtection="0"/>
    <xf numFmtId="164" fontId="14" fillId="0" borderId="0" applyFont="0" applyFill="0" applyBorder="0" applyAlignment="0" applyProtection="0"/>
    <xf numFmtId="168" fontId="1" fillId="0" borderId="0" applyFont="0" applyFill="0" applyBorder="0" applyAlignment="0" applyProtection="0"/>
    <xf numFmtId="169" fontId="14" fillId="0" borderId="0" applyFont="0" applyFill="0" applyBorder="0" applyAlignment="0" applyProtection="0"/>
    <xf numFmtId="0" fontId="1" fillId="0" borderId="0"/>
    <xf numFmtId="0" fontId="15" fillId="0" borderId="0"/>
    <xf numFmtId="0" fontId="11" fillId="0" borderId="0"/>
    <xf numFmtId="4" fontId="16" fillId="0" borderId="0" applyFill="0" applyBorder="0" applyAlignment="0" applyProtection="0"/>
    <xf numFmtId="0" fontId="1" fillId="0" borderId="0"/>
    <xf numFmtId="0" fontId="1" fillId="0" borderId="0"/>
    <xf numFmtId="0" fontId="1" fillId="0" borderId="0"/>
    <xf numFmtId="9" fontId="11" fillId="0" borderId="0" applyFont="0" applyFill="0" applyBorder="0" applyAlignment="0" applyProtection="0"/>
    <xf numFmtId="9" fontId="1" fillId="0" borderId="0" applyFont="0" applyFill="0" applyBorder="0" applyAlignment="0" applyProtection="0"/>
    <xf numFmtId="9" fontId="14" fillId="0" borderId="0" applyFont="0" applyFill="0" applyBorder="0" applyAlignment="0" applyProtection="0"/>
  </cellStyleXfs>
  <cellXfs count="184">
    <xf numFmtId="0" fontId="0" fillId="0" borderId="0" xfId="0"/>
    <xf numFmtId="0" fontId="3" fillId="0" borderId="0" xfId="0" applyFont="1"/>
    <xf numFmtId="0" fontId="3" fillId="0" borderId="1" xfId="0" applyFont="1" applyBorder="1"/>
    <xf numFmtId="0" fontId="0" fillId="0" borderId="2" xfId="0" applyBorder="1"/>
    <xf numFmtId="0" fontId="0" fillId="0" borderId="3" xfId="0" applyBorder="1"/>
    <xf numFmtId="0" fontId="0" fillId="0" borderId="4" xfId="0" applyBorder="1"/>
    <xf numFmtId="0" fontId="0" fillId="0" borderId="0" xfId="0" applyBorder="1"/>
    <xf numFmtId="0" fontId="0" fillId="0" borderId="5" xfId="0" applyBorder="1"/>
    <xf numFmtId="0" fontId="5" fillId="0" borderId="4" xfId="2" applyBorder="1"/>
    <xf numFmtId="0" fontId="0" fillId="0" borderId="6" xfId="0" applyBorder="1"/>
    <xf numFmtId="0" fontId="0" fillId="0" borderId="7" xfId="0" applyBorder="1"/>
    <xf numFmtId="0" fontId="0" fillId="0" borderId="8" xfId="0" applyBorder="1"/>
    <xf numFmtId="0" fontId="6" fillId="0" borderId="0" xfId="0" applyFont="1" applyAlignment="1">
      <alignment vertical="center"/>
    </xf>
    <xf numFmtId="0" fontId="7" fillId="0" borderId="0" xfId="0" applyFont="1"/>
    <xf numFmtId="0" fontId="8" fillId="0" borderId="0" xfId="0" applyFont="1"/>
    <xf numFmtId="0" fontId="6" fillId="3" borderId="0" xfId="0" applyFont="1" applyFill="1" applyAlignment="1">
      <alignment vertical="center"/>
    </xf>
    <xf numFmtId="0" fontId="9" fillId="0" borderId="0" xfId="0" applyFont="1" applyFill="1" applyAlignment="1">
      <alignment vertical="center"/>
    </xf>
    <xf numFmtId="0" fontId="0" fillId="0" borderId="0" xfId="0" applyFill="1"/>
    <xf numFmtId="0" fontId="3" fillId="2" borderId="9" xfId="2" applyFont="1" applyFill="1" applyBorder="1"/>
    <xf numFmtId="0" fontId="3" fillId="2" borderId="10" xfId="0" applyFont="1" applyFill="1" applyBorder="1"/>
    <xf numFmtId="0" fontId="0" fillId="0" borderId="0" xfId="0" applyFont="1" applyFill="1"/>
    <xf numFmtId="0" fontId="0" fillId="0" borderId="0" xfId="0" applyFont="1"/>
    <xf numFmtId="0" fontId="10" fillId="0" borderId="0" xfId="0" applyFont="1"/>
    <xf numFmtId="0" fontId="0" fillId="4" borderId="0" xfId="0" applyFill="1"/>
    <xf numFmtId="0" fontId="3" fillId="0" borderId="0" xfId="0" applyFont="1" applyBorder="1"/>
    <xf numFmtId="0" fontId="0" fillId="5" borderId="0" xfId="0" applyFont="1" applyFill="1"/>
    <xf numFmtId="0" fontId="8" fillId="5" borderId="0" xfId="0" applyFont="1" applyFill="1"/>
    <xf numFmtId="0" fontId="2" fillId="7" borderId="12" xfId="0" applyFont="1" applyFill="1" applyBorder="1"/>
    <xf numFmtId="0" fontId="2" fillId="7" borderId="12" xfId="0" applyFont="1" applyFill="1" applyBorder="1" applyAlignment="1">
      <alignment horizontal="center"/>
    </xf>
    <xf numFmtId="170" fontId="0" fillId="6" borderId="13" xfId="0" applyNumberFormat="1" applyFont="1" applyFill="1" applyBorder="1" applyAlignment="1">
      <alignment horizontal="center"/>
    </xf>
    <xf numFmtId="0" fontId="0" fillId="0" borderId="0" xfId="0" applyAlignment="1">
      <alignment horizontal="center"/>
    </xf>
    <xf numFmtId="9" fontId="0" fillId="0" borderId="0" xfId="0" applyNumberFormat="1" applyAlignment="1">
      <alignment horizontal="center"/>
    </xf>
    <xf numFmtId="14" fontId="0" fillId="0" borderId="0" xfId="0" applyNumberFormat="1" applyAlignment="1">
      <alignment horizontal="center"/>
    </xf>
    <xf numFmtId="171" fontId="0" fillId="0" borderId="0" xfId="0" applyNumberFormat="1" applyAlignment="1">
      <alignment horizontal="center"/>
    </xf>
    <xf numFmtId="2" fontId="0" fillId="0" borderId="0" xfId="0" applyNumberFormat="1" applyAlignment="1">
      <alignment horizontal="center"/>
    </xf>
    <xf numFmtId="2" fontId="3" fillId="0" borderId="14" xfId="0" applyNumberFormat="1" applyFont="1" applyFill="1" applyBorder="1" applyAlignment="1">
      <alignment horizontal="center"/>
    </xf>
    <xf numFmtId="0" fontId="0" fillId="0" borderId="15" xfId="0" applyBorder="1" applyAlignment="1">
      <alignment horizontal="center"/>
    </xf>
    <xf numFmtId="0" fontId="2" fillId="7" borderId="15" xfId="0" applyFont="1" applyFill="1" applyBorder="1" applyAlignment="1">
      <alignment horizontal="center"/>
    </xf>
    <xf numFmtId="0" fontId="2" fillId="8" borderId="15" xfId="0" applyFont="1" applyFill="1" applyBorder="1" applyAlignment="1">
      <alignment horizontal="center"/>
    </xf>
    <xf numFmtId="170" fontId="0" fillId="6" borderId="15" xfId="0" applyNumberFormat="1" applyFont="1" applyFill="1" applyBorder="1"/>
    <xf numFmtId="172" fontId="0" fillId="0" borderId="15" xfId="0" applyNumberFormat="1" applyBorder="1"/>
    <xf numFmtId="0" fontId="0" fillId="0" borderId="15" xfId="0" applyBorder="1"/>
    <xf numFmtId="170" fontId="0" fillId="6" borderId="15" xfId="0" quotePrefix="1" applyNumberFormat="1" applyFont="1" applyFill="1" applyBorder="1"/>
    <xf numFmtId="0" fontId="0" fillId="9" borderId="0" xfId="0" applyFill="1"/>
    <xf numFmtId="14" fontId="0" fillId="9" borderId="0" xfId="0" applyNumberFormat="1" applyFill="1" applyAlignment="1">
      <alignment horizontal="center"/>
    </xf>
    <xf numFmtId="171" fontId="0" fillId="9" borderId="0" xfId="0" applyNumberFormat="1" applyFill="1" applyAlignment="1">
      <alignment horizontal="center"/>
    </xf>
    <xf numFmtId="172" fontId="17" fillId="0" borderId="15" xfId="0" applyNumberFormat="1" applyFont="1" applyBorder="1"/>
    <xf numFmtId="172" fontId="0" fillId="0" borderId="15" xfId="0" applyNumberFormat="1" applyFill="1" applyBorder="1"/>
    <xf numFmtId="170" fontId="2" fillId="7" borderId="15" xfId="0" applyNumberFormat="1" applyFont="1" applyFill="1" applyBorder="1" applyAlignment="1">
      <alignment horizontal="center"/>
    </xf>
    <xf numFmtId="170" fontId="2" fillId="7" borderId="15" xfId="0" applyNumberFormat="1" applyFont="1" applyFill="1" applyBorder="1"/>
    <xf numFmtId="170" fontId="3" fillId="0" borderId="1" xfId="0" applyNumberFormat="1" applyFont="1" applyFill="1" applyBorder="1"/>
    <xf numFmtId="173" fontId="3" fillId="0" borderId="2" xfId="0" applyNumberFormat="1" applyFont="1" applyFill="1" applyBorder="1" applyAlignment="1">
      <alignment horizontal="right"/>
    </xf>
    <xf numFmtId="173" fontId="18" fillId="3" borderId="2" xfId="0" applyNumberFormat="1" applyFont="1" applyFill="1" applyBorder="1" applyAlignment="1">
      <alignment horizontal="right"/>
    </xf>
    <xf numFmtId="173" fontId="18" fillId="3" borderId="3" xfId="0" applyNumberFormat="1" applyFont="1" applyFill="1" applyBorder="1" applyAlignment="1">
      <alignment horizontal="right"/>
    </xf>
    <xf numFmtId="0" fontId="0" fillId="0" borderId="0" xfId="0" applyFill="1" applyAlignment="1">
      <alignment horizontal="center"/>
    </xf>
    <xf numFmtId="9" fontId="0" fillId="0" borderId="0" xfId="0" applyNumberFormat="1" applyFill="1" applyAlignment="1">
      <alignment horizontal="center"/>
    </xf>
    <xf numFmtId="14" fontId="0" fillId="0" borderId="0" xfId="0" applyNumberFormat="1" applyFill="1" applyAlignment="1">
      <alignment horizontal="center"/>
    </xf>
    <xf numFmtId="171" fontId="0" fillId="0" borderId="0" xfId="0" applyNumberFormat="1" applyFill="1" applyAlignment="1">
      <alignment horizontal="center"/>
    </xf>
    <xf numFmtId="2" fontId="0" fillId="0" borderId="0" xfId="0" applyNumberFormat="1" applyFill="1" applyAlignment="1">
      <alignment horizontal="center"/>
    </xf>
    <xf numFmtId="170" fontId="3" fillId="0" borderId="4" xfId="0" applyNumberFormat="1" applyFont="1" applyFill="1" applyBorder="1"/>
    <xf numFmtId="174" fontId="0" fillId="0" borderId="0" xfId="1" applyNumberFormat="1" applyFont="1" applyBorder="1"/>
    <xf numFmtId="174" fontId="0" fillId="0" borderId="5" xfId="1" applyNumberFormat="1" applyFont="1" applyBorder="1"/>
    <xf numFmtId="0" fontId="3" fillId="0" borderId="4" xfId="0" applyFont="1" applyBorder="1"/>
    <xf numFmtId="0" fontId="3" fillId="0" borderId="6" xfId="0" applyFont="1" applyBorder="1"/>
    <xf numFmtId="9" fontId="0" fillId="0" borderId="7" xfId="1" applyFont="1" applyBorder="1"/>
    <xf numFmtId="9" fontId="0" fillId="0" borderId="8" xfId="1" applyFont="1" applyBorder="1"/>
    <xf numFmtId="9" fontId="0" fillId="0" borderId="0" xfId="1" applyFont="1" applyBorder="1"/>
    <xf numFmtId="0" fontId="2" fillId="7" borderId="1" xfId="0" applyFont="1" applyFill="1" applyBorder="1"/>
    <xf numFmtId="175" fontId="3" fillId="0" borderId="2" xfId="0" applyNumberFormat="1" applyFont="1" applyFill="1" applyBorder="1"/>
    <xf numFmtId="175" fontId="18" fillId="3" borderId="2" xfId="0" applyNumberFormat="1" applyFont="1" applyFill="1" applyBorder="1"/>
    <xf numFmtId="175" fontId="18" fillId="3" borderId="3" xfId="0" applyNumberFormat="1" applyFont="1" applyFill="1" applyBorder="1"/>
    <xf numFmtId="0" fontId="2" fillId="7" borderId="4" xfId="0" applyFont="1" applyFill="1" applyBorder="1"/>
    <xf numFmtId="175" fontId="3" fillId="0" borderId="0" xfId="0" applyNumberFormat="1" applyFont="1" applyFill="1" applyBorder="1"/>
    <xf numFmtId="175" fontId="18" fillId="3" borderId="0" xfId="0" applyNumberFormat="1" applyFont="1" applyFill="1" applyBorder="1"/>
    <xf numFmtId="175" fontId="18" fillId="3" borderId="5" xfId="0" applyNumberFormat="1" applyFont="1" applyFill="1" applyBorder="1"/>
    <xf numFmtId="0" fontId="2" fillId="7" borderId="6" xfId="0" applyFont="1" applyFill="1" applyBorder="1"/>
    <xf numFmtId="174" fontId="3" fillId="0" borderId="7" xfId="1" applyNumberFormat="1" applyFont="1" applyFill="1" applyBorder="1"/>
    <xf numFmtId="174" fontId="3" fillId="0" borderId="8" xfId="1" applyNumberFormat="1" applyFont="1" applyFill="1" applyBorder="1"/>
    <xf numFmtId="2" fontId="8" fillId="3" borderId="0" xfId="0" applyNumberFormat="1" applyFont="1" applyFill="1" applyBorder="1"/>
    <xf numFmtId="175" fontId="0" fillId="0" borderId="0" xfId="0" applyNumberFormat="1" applyBorder="1"/>
    <xf numFmtId="0" fontId="19" fillId="0" borderId="0" xfId="0" applyFont="1" applyFill="1" applyBorder="1"/>
    <xf numFmtId="0" fontId="2" fillId="7" borderId="0" xfId="0" applyFont="1" applyFill="1" applyBorder="1" applyAlignment="1">
      <alignment horizontal="center"/>
    </xf>
    <xf numFmtId="2" fontId="0" fillId="0" borderId="2" xfId="0" applyNumberFormat="1" applyBorder="1"/>
    <xf numFmtId="175" fontId="0" fillId="0" borderId="2" xfId="0" applyNumberFormat="1" applyBorder="1" applyAlignment="1">
      <alignment horizontal="center"/>
    </xf>
    <xf numFmtId="175" fontId="0" fillId="0" borderId="3" xfId="0" applyNumberFormat="1" applyBorder="1" applyAlignment="1">
      <alignment horizontal="center"/>
    </xf>
    <xf numFmtId="2" fontId="0" fillId="0" borderId="0" xfId="0" applyNumberFormat="1" applyBorder="1"/>
    <xf numFmtId="175" fontId="0" fillId="0" borderId="0" xfId="0" applyNumberFormat="1" applyBorder="1" applyAlignment="1">
      <alignment horizontal="center"/>
    </xf>
    <xf numFmtId="175" fontId="0" fillId="0" borderId="5" xfId="0" applyNumberFormat="1" applyBorder="1" applyAlignment="1">
      <alignment horizontal="center"/>
    </xf>
    <xf numFmtId="0" fontId="3" fillId="0" borderId="0" xfId="0" applyFont="1" applyFill="1" applyBorder="1" applyAlignment="1">
      <alignment horizontal="center"/>
    </xf>
    <xf numFmtId="172" fontId="0" fillId="0" borderId="0" xfId="0" applyNumberFormat="1" applyBorder="1" applyAlignment="1">
      <alignment horizontal="center"/>
    </xf>
    <xf numFmtId="172" fontId="0" fillId="0" borderId="5" xfId="0" applyNumberFormat="1" applyBorder="1" applyAlignment="1">
      <alignment horizontal="center"/>
    </xf>
    <xf numFmtId="173" fontId="0" fillId="0" borderId="2" xfId="0" applyNumberFormat="1" applyBorder="1"/>
    <xf numFmtId="173" fontId="0" fillId="0" borderId="3" xfId="0" applyNumberFormat="1" applyBorder="1"/>
    <xf numFmtId="176" fontId="3" fillId="0" borderId="0" xfId="0" applyNumberFormat="1" applyFont="1" applyBorder="1"/>
    <xf numFmtId="176" fontId="3" fillId="0" borderId="0" xfId="0" applyNumberFormat="1" applyFont="1" applyBorder="1" applyAlignment="1">
      <alignment horizontal="center"/>
    </xf>
    <xf numFmtId="176" fontId="3" fillId="0" borderId="5" xfId="0" applyNumberFormat="1" applyFont="1" applyBorder="1" applyAlignment="1">
      <alignment horizontal="center"/>
    </xf>
    <xf numFmtId="10" fontId="3" fillId="0" borderId="7" xfId="1" applyNumberFormat="1" applyFont="1" applyBorder="1" applyAlignment="1">
      <alignment horizontal="center"/>
    </xf>
    <xf numFmtId="10" fontId="3" fillId="0" borderId="8" xfId="1" applyNumberFormat="1" applyFont="1" applyBorder="1" applyAlignment="1">
      <alignment horizontal="center"/>
    </xf>
    <xf numFmtId="0" fontId="0" fillId="0" borderId="0" xfId="0" applyBorder="1" applyAlignment="1">
      <alignment horizontal="center"/>
    </xf>
    <xf numFmtId="0" fontId="0" fillId="0" borderId="0" xfId="0" applyFill="1" applyBorder="1" applyAlignment="1">
      <alignment horizontal="center"/>
    </xf>
    <xf numFmtId="37" fontId="2" fillId="7" borderId="0" xfId="0" applyNumberFormat="1" applyFont="1" applyFill="1" applyAlignment="1">
      <alignment horizontal="left"/>
    </xf>
    <xf numFmtId="37" fontId="2" fillId="7" borderId="0" xfId="0" applyNumberFormat="1" applyFont="1" applyFill="1" applyAlignment="1">
      <alignment horizontal="right"/>
    </xf>
    <xf numFmtId="37" fontId="2" fillId="10" borderId="0" xfId="0" applyNumberFormat="1" applyFont="1" applyFill="1" applyAlignment="1">
      <alignment horizontal="right"/>
    </xf>
    <xf numFmtId="175" fontId="0" fillId="0" borderId="0" xfId="0" applyNumberFormat="1" applyFill="1" applyBorder="1" applyAlignment="1">
      <alignment horizontal="center"/>
    </xf>
    <xf numFmtId="0" fontId="3" fillId="0" borderId="16" xfId="0" applyFont="1" applyBorder="1"/>
    <xf numFmtId="175" fontId="3" fillId="0" borderId="16" xfId="0" applyNumberFormat="1" applyFont="1" applyFill="1" applyBorder="1"/>
    <xf numFmtId="175" fontId="3" fillId="0" borderId="16" xfId="0" applyNumberFormat="1" applyFont="1" applyBorder="1"/>
    <xf numFmtId="175" fontId="0" fillId="0" borderId="0" xfId="0" applyNumberFormat="1"/>
    <xf numFmtId="175" fontId="3" fillId="0" borderId="0" xfId="0" applyNumberFormat="1" applyFont="1" applyFill="1" applyBorder="1" applyAlignment="1">
      <alignment horizontal="left" indent="2"/>
    </xf>
    <xf numFmtId="0" fontId="21" fillId="0" borderId="0" xfId="0" applyFont="1"/>
    <xf numFmtId="175" fontId="0" fillId="0" borderId="0" xfId="0" applyNumberFormat="1" applyFont="1" applyFill="1" applyBorder="1"/>
    <xf numFmtId="0" fontId="0" fillId="0" borderId="0" xfId="0" applyFill="1" applyAlignment="1">
      <alignment horizontal="left" indent="1"/>
    </xf>
    <xf numFmtId="175" fontId="7" fillId="11" borderId="0" xfId="0" applyNumberFormat="1" applyFont="1" applyFill="1" applyBorder="1"/>
    <xf numFmtId="175" fontId="7" fillId="0" borderId="0" xfId="0" applyNumberFormat="1" applyFont="1" applyFill="1" applyBorder="1"/>
    <xf numFmtId="175" fontId="0" fillId="0" borderId="0" xfId="0" applyNumberFormat="1" applyFont="1" applyFill="1"/>
    <xf numFmtId="175" fontId="0" fillId="11" borderId="0" xfId="0" applyNumberFormat="1" applyFill="1"/>
    <xf numFmtId="175" fontId="7" fillId="0" borderId="0" xfId="0" applyNumberFormat="1" applyFont="1" applyFill="1"/>
    <xf numFmtId="0" fontId="0" fillId="0" borderId="0" xfId="0" applyFill="1" applyAlignment="1">
      <alignment horizontal="left"/>
    </xf>
    <xf numFmtId="0" fontId="0" fillId="0" borderId="0" xfId="0" applyFill="1" applyBorder="1" applyAlignment="1">
      <alignment horizontal="left"/>
    </xf>
    <xf numFmtId="175" fontId="0" fillId="0" borderId="0" xfId="0" applyNumberFormat="1" applyFont="1" applyFill="1" applyBorder="1" applyAlignment="1">
      <alignment horizontal="left" indent="2"/>
    </xf>
    <xf numFmtId="175" fontId="0" fillId="0" borderId="0" xfId="0" applyNumberFormat="1" applyFont="1"/>
    <xf numFmtId="175" fontId="3" fillId="2" borderId="10" xfId="0" applyNumberFormat="1" applyFont="1" applyFill="1" applyBorder="1"/>
    <xf numFmtId="0" fontId="3" fillId="0" borderId="10" xfId="0" applyFont="1" applyFill="1" applyBorder="1"/>
    <xf numFmtId="175" fontId="3" fillId="0" borderId="10" xfId="0" applyNumberFormat="1" applyFont="1" applyFill="1" applyBorder="1"/>
    <xf numFmtId="175" fontId="0" fillId="0" borderId="0" xfId="0" applyNumberFormat="1" applyFill="1"/>
    <xf numFmtId="0" fontId="3" fillId="0" borderId="0" xfId="0" applyFont="1" applyFill="1" applyBorder="1"/>
    <xf numFmtId="0" fontId="0" fillId="0" borderId="0" xfId="0" applyFont="1" applyFill="1" applyBorder="1" applyAlignment="1">
      <alignment horizontal="left" indent="1"/>
    </xf>
    <xf numFmtId="0" fontId="0" fillId="0" borderId="0" xfId="0" applyFill="1" applyBorder="1" applyAlignment="1">
      <alignment horizontal="left" indent="1"/>
    </xf>
    <xf numFmtId="175" fontId="0" fillId="0" borderId="0" xfId="0" applyNumberFormat="1" applyFont="1" applyFill="1" applyBorder="1" applyAlignment="1">
      <alignment horizontal="center"/>
    </xf>
    <xf numFmtId="175" fontId="0" fillId="0" borderId="0" xfId="0" applyNumberFormat="1" applyFill="1" applyBorder="1"/>
    <xf numFmtId="0" fontId="3" fillId="0" borderId="0" xfId="0" applyFont="1" applyFill="1"/>
    <xf numFmtId="172" fontId="3" fillId="0" borderId="0" xfId="0" applyNumberFormat="1" applyFont="1" applyFill="1" applyBorder="1"/>
    <xf numFmtId="172" fontId="3" fillId="2" borderId="10" xfId="0" applyNumberFormat="1" applyFont="1" applyFill="1" applyBorder="1"/>
    <xf numFmtId="174" fontId="1" fillId="0" borderId="0" xfId="1" applyNumberFormat="1" applyFont="1" applyFill="1" applyBorder="1"/>
    <xf numFmtId="174" fontId="0" fillId="0" borderId="0" xfId="1" applyNumberFormat="1" applyFont="1" applyFill="1" applyBorder="1"/>
    <xf numFmtId="174" fontId="7" fillId="0" borderId="0" xfId="1" applyNumberFormat="1" applyFont="1" applyFill="1" applyBorder="1"/>
    <xf numFmtId="175" fontId="2" fillId="7" borderId="0" xfId="0" applyNumberFormat="1" applyFont="1" applyFill="1"/>
    <xf numFmtId="175" fontId="4" fillId="7" borderId="0" xfId="0" applyNumberFormat="1" applyFont="1" applyFill="1"/>
    <xf numFmtId="177" fontId="0" fillId="0" borderId="0" xfId="0" applyNumberFormat="1"/>
    <xf numFmtId="177" fontId="8" fillId="3" borderId="0" xfId="0" applyNumberFormat="1" applyFont="1" applyFill="1"/>
    <xf numFmtId="37" fontId="0" fillId="0" borderId="0" xfId="0" applyNumberFormat="1"/>
    <xf numFmtId="175" fontId="0" fillId="0" borderId="0" xfId="0" applyNumberFormat="1" applyAlignment="1">
      <alignment horizontal="center"/>
    </xf>
    <xf numFmtId="175" fontId="3" fillId="12" borderId="0" xfId="0" applyNumberFormat="1" applyFont="1" applyFill="1"/>
    <xf numFmtId="0" fontId="0" fillId="0" borderId="0" xfId="0" applyAlignment="1">
      <alignment horizontal="left" indent="1"/>
    </xf>
    <xf numFmtId="175" fontId="8" fillId="5" borderId="0" xfId="0" applyNumberFormat="1" applyFont="1" applyFill="1"/>
    <xf numFmtId="175" fontId="0" fillId="0" borderId="0" xfId="0" applyNumberFormat="1" applyFill="1" applyAlignment="1">
      <alignment horizontal="left" indent="2"/>
    </xf>
    <xf numFmtId="175" fontId="7" fillId="5" borderId="0" xfId="0" applyNumberFormat="1" applyFont="1" applyFill="1"/>
    <xf numFmtId="175" fontId="0" fillId="0" borderId="0" xfId="0" applyNumberFormat="1" applyFill="1" applyAlignment="1">
      <alignment horizontal="left" indent="1"/>
    </xf>
    <xf numFmtId="0" fontId="0" fillId="0" borderId="0" xfId="0" applyFont="1" applyFill="1" applyAlignment="1">
      <alignment horizontal="left" indent="1"/>
    </xf>
    <xf numFmtId="175" fontId="0" fillId="0" borderId="0" xfId="0" applyNumberFormat="1" applyFont="1" applyAlignment="1">
      <alignment horizontal="left"/>
    </xf>
    <xf numFmtId="0" fontId="0" fillId="0" borderId="0" xfId="0" applyFont="1" applyFill="1" applyAlignment="1">
      <alignment horizontal="left" indent="2"/>
    </xf>
    <xf numFmtId="0" fontId="22" fillId="0" borderId="0" xfId="0" applyFont="1" applyAlignment="1">
      <alignment horizontal="left" indent="2"/>
    </xf>
    <xf numFmtId="174" fontId="0" fillId="0" borderId="0" xfId="1" applyNumberFormat="1" applyFont="1" applyFill="1"/>
    <xf numFmtId="175" fontId="0" fillId="0" borderId="0" xfId="0" applyNumberFormat="1" applyAlignment="1">
      <alignment horizontal="right"/>
    </xf>
    <xf numFmtId="0" fontId="3" fillId="0" borderId="10" xfId="0" applyFont="1" applyBorder="1"/>
    <xf numFmtId="175" fontId="3" fillId="0" borderId="10" xfId="0" applyNumberFormat="1" applyFont="1" applyBorder="1"/>
    <xf numFmtId="174" fontId="0" fillId="0" borderId="0" xfId="1" applyNumberFormat="1" applyFont="1"/>
    <xf numFmtId="0" fontId="22" fillId="0" borderId="0" xfId="0" applyFont="1"/>
    <xf numFmtId="175" fontId="8" fillId="3" borderId="0" xfId="0" applyNumberFormat="1" applyFont="1" applyFill="1"/>
    <xf numFmtId="175" fontId="0" fillId="3" borderId="0" xfId="0" applyNumberFormat="1" applyFill="1"/>
    <xf numFmtId="37" fontId="2" fillId="0" borderId="0" xfId="0" applyNumberFormat="1" applyFont="1" applyFill="1" applyAlignment="1">
      <alignment horizontal="left"/>
    </xf>
    <xf numFmtId="37" fontId="2" fillId="0" borderId="0" xfId="0" applyNumberFormat="1" applyFont="1" applyFill="1" applyAlignment="1">
      <alignment horizontal="right"/>
    </xf>
    <xf numFmtId="37" fontId="0" fillId="0" borderId="0" xfId="0" applyNumberFormat="1" applyFill="1"/>
    <xf numFmtId="0" fontId="0" fillId="0" borderId="0" xfId="0" applyFont="1" applyFill="1" applyAlignment="1">
      <alignment horizontal="center"/>
    </xf>
    <xf numFmtId="37" fontId="3" fillId="0" borderId="0" xfId="0" applyNumberFormat="1" applyFont="1" applyFill="1" applyAlignment="1">
      <alignment horizontal="left"/>
    </xf>
    <xf numFmtId="37" fontId="3" fillId="0" borderId="0" xfId="0" applyNumberFormat="1" applyFont="1" applyFill="1" applyAlignment="1">
      <alignment horizontal="right"/>
    </xf>
    <xf numFmtId="37" fontId="0" fillId="0" borderId="0" xfId="0" applyNumberFormat="1" applyFont="1" applyFill="1"/>
    <xf numFmtId="175" fontId="3" fillId="0" borderId="0" xfId="0" applyNumberFormat="1" applyFont="1"/>
    <xf numFmtId="0" fontId="0" fillId="0" borderId="0" xfId="0" applyAlignment="1">
      <alignment horizontal="left" indent="2"/>
    </xf>
    <xf numFmtId="0" fontId="0" fillId="0" borderId="0" xfId="0" applyFill="1" applyAlignment="1">
      <alignment horizontal="left" indent="2"/>
    </xf>
    <xf numFmtId="175" fontId="0" fillId="0" borderId="0" xfId="0" applyNumberFormat="1" applyFill="1" applyAlignment="1">
      <alignment horizontal="center"/>
    </xf>
    <xf numFmtId="173" fontId="0" fillId="0" borderId="7" xfId="0" applyNumberFormat="1" applyBorder="1"/>
    <xf numFmtId="173" fontId="0" fillId="0" borderId="8" xfId="0" applyNumberFormat="1" applyBorder="1"/>
    <xf numFmtId="0" fontId="2" fillId="7" borderId="9" xfId="0" applyFont="1" applyFill="1" applyBorder="1"/>
    <xf numFmtId="0" fontId="4" fillId="7" borderId="10" xfId="0" applyFont="1" applyFill="1" applyBorder="1"/>
    <xf numFmtId="0" fontId="23" fillId="7" borderId="9" xfId="0" applyFont="1" applyFill="1" applyBorder="1" applyAlignment="1">
      <alignment vertical="center"/>
    </xf>
    <xf numFmtId="175" fontId="7" fillId="3" borderId="0" xfId="0" applyNumberFormat="1" applyFont="1" applyFill="1" applyBorder="1"/>
    <xf numFmtId="175" fontId="7" fillId="3" borderId="0" xfId="0" applyNumberFormat="1" applyFont="1" applyFill="1"/>
    <xf numFmtId="175" fontId="8" fillId="3" borderId="0" xfId="0" applyNumberFormat="1" applyFont="1" applyFill="1" applyBorder="1"/>
    <xf numFmtId="175" fontId="8" fillId="5" borderId="0" xfId="0" applyNumberFormat="1" applyFont="1" applyFill="1" applyAlignment="1">
      <alignment horizontal="right"/>
    </xf>
    <xf numFmtId="0" fontId="0" fillId="2" borderId="0" xfId="0" applyFill="1"/>
    <xf numFmtId="172" fontId="17" fillId="0" borderId="15" xfId="0" applyNumberFormat="1" applyFont="1" applyFill="1" applyBorder="1"/>
    <xf numFmtId="177" fontId="0" fillId="0" borderId="0" xfId="0" applyNumberFormat="1" applyFont="1" applyFill="1"/>
    <xf numFmtId="175" fontId="0" fillId="0" borderId="0" xfId="0" applyNumberFormat="1" applyFont="1" applyFill="1" applyAlignment="1">
      <alignment horizontal="right"/>
    </xf>
  </cellXfs>
  <cellStyles count="28">
    <cellStyle name="Comma 2" xfId="3"/>
    <cellStyle name="Comma 3" xfId="4"/>
    <cellStyle name="Comma 4" xfId="5"/>
    <cellStyle name="Comma 5" xfId="6"/>
    <cellStyle name="Comma 6" xfId="7"/>
    <cellStyle name="Comma 7" xfId="8"/>
    <cellStyle name="Comma 8" xfId="9"/>
    <cellStyle name="Comma_Q3" xfId="10"/>
    <cellStyle name="Currency 2" xfId="11"/>
    <cellStyle name="General" xfId="12"/>
    <cellStyle name="Header" xfId="13"/>
    <cellStyle name="Hipervínculo" xfId="2" builtinId="8"/>
    <cellStyle name="Millares 2" xfId="14"/>
    <cellStyle name="Millares 3" xfId="15"/>
    <cellStyle name="Millares 4" xfId="16"/>
    <cellStyle name="Moneda 2" xfId="17"/>
    <cellStyle name="Normal" xfId="0" builtinId="0"/>
    <cellStyle name="Normal 12" xfId="18"/>
    <cellStyle name="Normal 2" xfId="19"/>
    <cellStyle name="Normal 2 2" xfId="20"/>
    <cellStyle name="Normal 2 3" xfId="21"/>
    <cellStyle name="Normal 2 4" xfId="22"/>
    <cellStyle name="Normal 3" xfId="23"/>
    <cellStyle name="Normal 3 2" xfId="24"/>
    <cellStyle name="Percent 2" xfId="25"/>
    <cellStyle name="Percent 2 2" xfId="26"/>
    <cellStyle name="Porcentaje" xfId="1" builtinId="5"/>
    <cellStyle name="Porcentaje 2" xfId="27"/>
  </cellStyles>
  <dxfs count="0"/>
  <tableStyles count="0" defaultTableStyle="TableStyleMedium2" defaultPivotStyle="PivotStyleLight16"/>
  <colors>
    <mruColors>
      <color rgb="FFFCFA9C"/>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Valuations_Maste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ock Master"/>
      <sheetName val="Vessels Values Master"/>
    </sheetNames>
    <sheetDataSet>
      <sheetData sheetId="0">
        <row r="2">
          <cell r="C2">
            <v>59.9</v>
          </cell>
        </row>
      </sheetData>
      <sheetData sheetId="1">
        <row r="90">
          <cell r="D90">
            <v>4.4444444444331752E-6</v>
          </cell>
          <cell r="E90">
            <v>-4.6066666666666319E-2</v>
          </cell>
          <cell r="F90">
            <v>-3.8249206349206366</v>
          </cell>
          <cell r="G90">
            <v>149.49561904761904</v>
          </cell>
        </row>
        <row r="91">
          <cell r="D91">
            <v>-1.9955555555555738E-3</v>
          </cell>
          <cell r="E91">
            <v>3.2190476190483981E-3</v>
          </cell>
          <cell r="F91">
            <v>-2.3642063492063574</v>
          </cell>
          <cell r="G91">
            <v>101.33704761904764</v>
          </cell>
        </row>
      </sheetData>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info@ourios.com" TargetMode="Externa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1"/>
  <sheetViews>
    <sheetView showGridLines="0" zoomScale="85" zoomScaleNormal="85" workbookViewId="0">
      <selection activeCell="E13" sqref="E13"/>
    </sheetView>
  </sheetViews>
  <sheetFormatPr baseColWidth="10" defaultColWidth="0" defaultRowHeight="0" customHeight="1" zeroHeight="1" x14ac:dyDescent="0.3"/>
  <cols>
    <col min="1" max="1" width="29.33203125" bestFit="1" customWidth="1"/>
    <col min="2" max="19" width="11.5546875" customWidth="1"/>
  </cols>
  <sheetData>
    <row r="1" spans="1:8" ht="14.4" customHeight="1" x14ac:dyDescent="0.3"/>
    <row r="2" spans="1:8" ht="14.4" customHeight="1" thickBot="1" x14ac:dyDescent="0.35"/>
    <row r="3" spans="1:8" ht="14.4" customHeight="1" x14ac:dyDescent="0.3">
      <c r="A3" s="1" t="s">
        <v>0</v>
      </c>
      <c r="F3" s="2" t="s">
        <v>1</v>
      </c>
      <c r="G3" s="3"/>
      <c r="H3" s="4"/>
    </row>
    <row r="4" spans="1:8" ht="14.4" customHeight="1" x14ac:dyDescent="0.3">
      <c r="A4" t="s">
        <v>249</v>
      </c>
      <c r="F4" s="5" t="s">
        <v>255</v>
      </c>
      <c r="G4" s="6"/>
      <c r="H4" s="7"/>
    </row>
    <row r="5" spans="1:8" ht="14.4" customHeight="1" x14ac:dyDescent="0.3">
      <c r="F5" s="5" t="s">
        <v>253</v>
      </c>
      <c r="G5" s="6"/>
      <c r="H5" s="7"/>
    </row>
    <row r="6" spans="1:8" ht="14.4" customHeight="1" x14ac:dyDescent="0.3">
      <c r="F6" s="8" t="s">
        <v>254</v>
      </c>
      <c r="G6" s="6"/>
      <c r="H6" s="7"/>
    </row>
    <row r="7" spans="1:8" ht="14.4" customHeight="1" thickBot="1" x14ac:dyDescent="0.35">
      <c r="F7" s="9"/>
      <c r="G7" s="10"/>
      <c r="H7" s="11"/>
    </row>
    <row r="8" spans="1:8" ht="14.4" customHeight="1" x14ac:dyDescent="0.3"/>
    <row r="9" spans="1:8" ht="14.4" customHeight="1" x14ac:dyDescent="0.3"/>
    <row r="10" spans="1:8" s="174" customFormat="1" ht="14.4" customHeight="1" x14ac:dyDescent="0.3">
      <c r="A10" s="173" t="s">
        <v>2</v>
      </c>
    </row>
    <row r="11" spans="1:8" ht="14.4" customHeight="1" x14ac:dyDescent="0.3">
      <c r="A11" s="12" t="s">
        <v>3</v>
      </c>
    </row>
    <row r="12" spans="1:8" ht="14.4" customHeight="1" x14ac:dyDescent="0.3">
      <c r="A12" s="12" t="s">
        <v>4</v>
      </c>
    </row>
    <row r="13" spans="1:8" ht="14.4" customHeight="1" x14ac:dyDescent="0.3">
      <c r="A13" s="12"/>
    </row>
    <row r="14" spans="1:8" ht="14.4" customHeight="1" x14ac:dyDescent="0.3">
      <c r="A14" s="12"/>
    </row>
    <row r="15" spans="1:8" ht="14.4" customHeight="1" x14ac:dyDescent="0.3">
      <c r="A15" s="12"/>
    </row>
    <row r="16" spans="1:8" s="174" customFormat="1" ht="14.4" customHeight="1" x14ac:dyDescent="0.3">
      <c r="A16" s="173" t="s">
        <v>258</v>
      </c>
    </row>
    <row r="17" spans="1:2" ht="14.4" customHeight="1" x14ac:dyDescent="0.3">
      <c r="A17" t="s">
        <v>257</v>
      </c>
    </row>
    <row r="18" spans="1:2" ht="14.4" customHeight="1" x14ac:dyDescent="0.3">
      <c r="A18" t="s">
        <v>256</v>
      </c>
    </row>
    <row r="19" spans="1:2" ht="14.4" customHeight="1" x14ac:dyDescent="0.3"/>
    <row r="20" spans="1:2" ht="14.4" customHeight="1" x14ac:dyDescent="0.3">
      <c r="A20" s="12"/>
    </row>
    <row r="21" spans="1:2" ht="14.4" customHeight="1" x14ac:dyDescent="0.3">
      <c r="A21" s="12"/>
    </row>
    <row r="22" spans="1:2" s="174" customFormat="1" ht="14.4" customHeight="1" x14ac:dyDescent="0.3">
      <c r="A22" s="175" t="s">
        <v>259</v>
      </c>
    </row>
    <row r="23" spans="1:2" ht="14.4" customHeight="1" x14ac:dyDescent="0.3">
      <c r="A23" s="13" t="s">
        <v>5</v>
      </c>
      <c r="B23" t="s">
        <v>6</v>
      </c>
    </row>
    <row r="24" spans="1:2" ht="14.4" customHeight="1" x14ac:dyDescent="0.3">
      <c r="A24" s="14" t="s">
        <v>7</v>
      </c>
      <c r="B24" t="s">
        <v>8</v>
      </c>
    </row>
    <row r="25" spans="1:2" ht="14.4" customHeight="1" x14ac:dyDescent="0.3">
      <c r="A25" t="s">
        <v>9</v>
      </c>
      <c r="B25" t="s">
        <v>10</v>
      </c>
    </row>
    <row r="26" spans="1:2" ht="14.4" customHeight="1" x14ac:dyDescent="0.3">
      <c r="A26" s="15" t="s">
        <v>11</v>
      </c>
      <c r="B26" s="1" t="s">
        <v>12</v>
      </c>
    </row>
    <row r="27" spans="1:2" s="17" customFormat="1" ht="14.4" customHeight="1" x14ac:dyDescent="0.3">
      <c r="A27" s="16"/>
    </row>
    <row r="28" spans="1:2" s="17" customFormat="1" ht="14.4" customHeight="1" x14ac:dyDescent="0.3">
      <c r="A28" s="16"/>
    </row>
    <row r="29" spans="1:2" ht="14.4" customHeight="1" x14ac:dyDescent="0.3"/>
    <row r="30" spans="1:2" s="19" customFormat="1" ht="14.4" customHeight="1" x14ac:dyDescent="0.3">
      <c r="A30" s="18" t="s">
        <v>13</v>
      </c>
    </row>
    <row r="31" spans="1:2" ht="14.4" customHeight="1" x14ac:dyDescent="0.3">
      <c r="A31" t="s">
        <v>14</v>
      </c>
      <c r="B31" t="s">
        <v>265</v>
      </c>
    </row>
    <row r="32" spans="1:2" ht="14.4" customHeight="1" x14ac:dyDescent="0.3">
      <c r="A32" s="20" t="s">
        <v>15</v>
      </c>
      <c r="B32" t="s">
        <v>268</v>
      </c>
    </row>
    <row r="33" spans="1:2" ht="14.4" customHeight="1" x14ac:dyDescent="0.3">
      <c r="A33" s="20" t="s">
        <v>16</v>
      </c>
      <c r="B33" t="s">
        <v>17</v>
      </c>
    </row>
    <row r="34" spans="1:2" ht="14.4" customHeight="1" x14ac:dyDescent="0.3">
      <c r="A34" s="20" t="s">
        <v>18</v>
      </c>
      <c r="B34" t="s">
        <v>269</v>
      </c>
    </row>
    <row r="35" spans="1:2" ht="14.4" customHeight="1" x14ac:dyDescent="0.3">
      <c r="A35" s="20" t="s">
        <v>19</v>
      </c>
      <c r="B35" t="s">
        <v>270</v>
      </c>
    </row>
    <row r="36" spans="1:2" ht="14.4" customHeight="1" x14ac:dyDescent="0.3">
      <c r="A36" s="20" t="s">
        <v>20</v>
      </c>
      <c r="B36" t="s">
        <v>21</v>
      </c>
    </row>
    <row r="37" spans="1:2" ht="14.4" customHeight="1" x14ac:dyDescent="0.3">
      <c r="A37" s="20" t="s">
        <v>22</v>
      </c>
      <c r="B37" t="s">
        <v>23</v>
      </c>
    </row>
    <row r="38" spans="1:2" ht="14.4" customHeight="1" x14ac:dyDescent="0.3">
      <c r="A38" s="20" t="s">
        <v>24</v>
      </c>
      <c r="B38" t="s">
        <v>25</v>
      </c>
    </row>
    <row r="39" spans="1:2" ht="14.4" customHeight="1" x14ac:dyDescent="0.3">
      <c r="A39" s="20" t="s">
        <v>26</v>
      </c>
      <c r="B39" t="s">
        <v>27</v>
      </c>
    </row>
    <row r="40" spans="1:2" ht="14.4" customHeight="1" x14ac:dyDescent="0.3">
      <c r="A40" s="20" t="s">
        <v>28</v>
      </c>
      <c r="B40" t="s">
        <v>29</v>
      </c>
    </row>
    <row r="41" spans="1:2" ht="14.4" customHeight="1" x14ac:dyDescent="0.3">
      <c r="A41" t="s">
        <v>30</v>
      </c>
      <c r="B41" t="s">
        <v>31</v>
      </c>
    </row>
    <row r="42" spans="1:2" ht="14.4" customHeight="1" x14ac:dyDescent="0.3">
      <c r="A42" t="s">
        <v>271</v>
      </c>
      <c r="B42" t="s">
        <v>272</v>
      </c>
    </row>
    <row r="43" spans="1:2" ht="14.4" customHeight="1" x14ac:dyDescent="0.3">
      <c r="A43" s="21"/>
    </row>
    <row r="44" spans="1:2" ht="14.4" customHeight="1" x14ac:dyDescent="0.3">
      <c r="A44" s="22" t="s">
        <v>32</v>
      </c>
    </row>
    <row r="45" spans="1:2" ht="14.4" customHeight="1" x14ac:dyDescent="0.3">
      <c r="A45" t="s">
        <v>33</v>
      </c>
      <c r="B45" t="s">
        <v>34</v>
      </c>
    </row>
    <row r="46" spans="1:2" ht="14.4" customHeight="1" x14ac:dyDescent="0.3">
      <c r="A46" s="23" t="s">
        <v>35</v>
      </c>
      <c r="B46" t="s">
        <v>36</v>
      </c>
    </row>
    <row r="47" spans="1:2" ht="14.4" customHeight="1" x14ac:dyDescent="0.3">
      <c r="A47" s="43" t="s">
        <v>37</v>
      </c>
      <c r="B47" t="s">
        <v>261</v>
      </c>
    </row>
    <row r="48" spans="1:2" ht="14.4" customHeight="1" x14ac:dyDescent="0.3">
      <c r="A48" s="180" t="s">
        <v>266</v>
      </c>
      <c r="B48" t="s">
        <v>267</v>
      </c>
    </row>
    <row r="49" spans="1:4" ht="14.4" customHeight="1" x14ac:dyDescent="0.3">
      <c r="A49" s="17"/>
      <c r="B49" s="17"/>
      <c r="C49" s="17"/>
    </row>
    <row r="50" spans="1:4" ht="14.4" customHeight="1" x14ac:dyDescent="0.3">
      <c r="A50" s="25" t="s">
        <v>252</v>
      </c>
      <c r="B50" s="26"/>
      <c r="C50" s="26"/>
      <c r="D50" s="26"/>
    </row>
    <row r="51" spans="1:4" ht="14.4" customHeight="1" x14ac:dyDescent="0.3"/>
    <row r="52" spans="1:4" ht="14.4" customHeight="1" x14ac:dyDescent="0.3"/>
    <row r="53" spans="1:4" s="19" customFormat="1" ht="14.4" customHeight="1" x14ac:dyDescent="0.3">
      <c r="A53" s="18" t="s">
        <v>38</v>
      </c>
    </row>
    <row r="54" spans="1:4" ht="14.4" customHeight="1" x14ac:dyDescent="0.3">
      <c r="A54" t="s">
        <v>39</v>
      </c>
    </row>
    <row r="55" spans="1:4" ht="14.4" customHeight="1" x14ac:dyDescent="0.3">
      <c r="A55" t="s">
        <v>40</v>
      </c>
      <c r="B55" t="s">
        <v>41</v>
      </c>
    </row>
    <row r="56" spans="1:4" ht="14.4" customHeight="1" x14ac:dyDescent="0.3">
      <c r="A56" t="s">
        <v>42</v>
      </c>
      <c r="B56" t="s">
        <v>43</v>
      </c>
    </row>
    <row r="57" spans="1:4" ht="14.4" customHeight="1" x14ac:dyDescent="0.3"/>
    <row r="58" spans="1:4" s="6" customFormat="1" ht="14.4" customHeight="1" x14ac:dyDescent="0.3">
      <c r="A58" s="24" t="s">
        <v>263</v>
      </c>
    </row>
    <row r="59" spans="1:4" ht="14.4" customHeight="1" x14ac:dyDescent="0.3">
      <c r="A59" t="s">
        <v>262</v>
      </c>
    </row>
    <row r="60" spans="1:4" ht="14.4" customHeight="1" x14ac:dyDescent="0.3"/>
    <row r="61" spans="1:4" ht="14.4" customHeight="1" x14ac:dyDescent="0.3">
      <c r="A61" s="25" t="s">
        <v>252</v>
      </c>
      <c r="B61" s="26"/>
      <c r="C61" s="26"/>
      <c r="D61" s="26"/>
    </row>
    <row r="62" spans="1:4" ht="14.4" customHeight="1" x14ac:dyDescent="0.3"/>
    <row r="63" spans="1:4" ht="14.4" customHeight="1" x14ac:dyDescent="0.3"/>
    <row r="64" spans="1:4" s="19" customFormat="1" ht="14.4" customHeight="1" x14ac:dyDescent="0.3">
      <c r="A64" s="18" t="s">
        <v>44</v>
      </c>
    </row>
    <row r="65" spans="1:4" ht="14.4" customHeight="1" x14ac:dyDescent="0.3">
      <c r="A65" t="s">
        <v>45</v>
      </c>
    </row>
    <row r="66" spans="1:4" ht="14.4" customHeight="1" x14ac:dyDescent="0.3">
      <c r="A66" t="s">
        <v>46</v>
      </c>
      <c r="B66" t="s">
        <v>273</v>
      </c>
    </row>
    <row r="67" spans="1:4" ht="14.4" customHeight="1" x14ac:dyDescent="0.3">
      <c r="A67" t="s">
        <v>47</v>
      </c>
      <c r="B67" t="s">
        <v>48</v>
      </c>
    </row>
    <row r="68" spans="1:4" ht="14.4" customHeight="1" x14ac:dyDescent="0.3">
      <c r="A68" t="s">
        <v>49</v>
      </c>
      <c r="B68" t="s">
        <v>50</v>
      </c>
    </row>
    <row r="69" spans="1:4" ht="14.4" customHeight="1" x14ac:dyDescent="0.3"/>
    <row r="70" spans="1:4" s="6" customFormat="1" ht="14.4" customHeight="1" x14ac:dyDescent="0.3">
      <c r="A70" s="24" t="s">
        <v>263</v>
      </c>
    </row>
    <row r="71" spans="1:4" ht="14.4" customHeight="1" x14ac:dyDescent="0.3">
      <c r="A71" t="s">
        <v>51</v>
      </c>
    </row>
    <row r="72" spans="1:4" ht="14.4" customHeight="1" x14ac:dyDescent="0.3">
      <c r="A72" t="s">
        <v>274</v>
      </c>
    </row>
    <row r="73" spans="1:4" ht="14.4" customHeight="1" x14ac:dyDescent="0.3">
      <c r="A73" t="s">
        <v>275</v>
      </c>
    </row>
    <row r="74" spans="1:4" ht="14.4" customHeight="1" x14ac:dyDescent="0.3"/>
    <row r="75" spans="1:4" ht="14.4" customHeight="1" x14ac:dyDescent="0.3">
      <c r="A75" s="25" t="s">
        <v>252</v>
      </c>
      <c r="B75" s="26"/>
      <c r="C75" s="26"/>
      <c r="D75" s="26"/>
    </row>
    <row r="76" spans="1:4" ht="14.4" customHeight="1" x14ac:dyDescent="0.3"/>
    <row r="77" spans="1:4" ht="14.4" customHeight="1" x14ac:dyDescent="0.3"/>
    <row r="78" spans="1:4" s="19" customFormat="1" ht="14.4" customHeight="1" x14ac:dyDescent="0.3">
      <c r="A78" s="18" t="s">
        <v>52</v>
      </c>
    </row>
    <row r="79" spans="1:4" ht="14.4" customHeight="1" x14ac:dyDescent="0.3">
      <c r="A79" t="s">
        <v>53</v>
      </c>
    </row>
    <row r="80" spans="1:4" ht="14.4" customHeight="1" x14ac:dyDescent="0.3">
      <c r="A80" t="s">
        <v>54</v>
      </c>
    </row>
    <row r="81" spans="1:4" ht="14.4" customHeight="1" x14ac:dyDescent="0.3"/>
    <row r="82" spans="1:4" s="6" customFormat="1" ht="14.4" customHeight="1" x14ac:dyDescent="0.3">
      <c r="A82" s="24" t="s">
        <v>263</v>
      </c>
    </row>
    <row r="83" spans="1:4" ht="14.4" customHeight="1" x14ac:dyDescent="0.3">
      <c r="A83" t="s">
        <v>264</v>
      </c>
    </row>
    <row r="84" spans="1:4" ht="14.4" customHeight="1" x14ac:dyDescent="0.3"/>
    <row r="85" spans="1:4" ht="14.4" customHeight="1" x14ac:dyDescent="0.3">
      <c r="A85" s="25" t="s">
        <v>252</v>
      </c>
      <c r="B85" s="26"/>
      <c r="C85" s="26"/>
      <c r="D85" s="26"/>
    </row>
    <row r="86" spans="1:4" ht="14.4" customHeight="1" x14ac:dyDescent="0.3"/>
    <row r="87" spans="1:4" ht="14.4" customHeight="1" x14ac:dyDescent="0.3"/>
    <row r="88" spans="1:4" ht="14.4" customHeight="1" x14ac:dyDescent="0.3"/>
    <row r="89" spans="1:4" ht="14.4" customHeight="1" x14ac:dyDescent="0.3"/>
    <row r="90" spans="1:4" ht="14.4" customHeight="1" x14ac:dyDescent="0.3"/>
    <row r="91" spans="1:4" ht="14.4" customHeight="1" x14ac:dyDescent="0.3"/>
  </sheetData>
  <hyperlinks>
    <hyperlink ref="F6" r:id="rId1"/>
    <hyperlink ref="A30" location="NAV!A1" display="NAV Content"/>
    <hyperlink ref="A53" location="'P&amp;L'!A1" display="P&amp;L Content"/>
    <hyperlink ref="A64" location="Balance!A1" display="BALANCE Content"/>
    <hyperlink ref="A78" location="CashFlow!A1" display="CASH FLOW Content"/>
  </hyperlinks>
  <pageMargins left="0.7" right="0.7" top="0.75" bottom="0.75" header="0.3" footer="0.3"/>
  <pageSetup paperSize="9" orientation="portrait" horizontalDpi="0" verticalDpi="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1"/>
  </sheetPr>
  <dimension ref="B1:S86"/>
  <sheetViews>
    <sheetView showGridLines="0" tabSelected="1" zoomScale="85" zoomScaleNormal="85" workbookViewId="0">
      <selection activeCell="P16" sqref="P16"/>
    </sheetView>
  </sheetViews>
  <sheetFormatPr baseColWidth="10" defaultColWidth="10.77734375" defaultRowHeight="14.4" customHeight="1" x14ac:dyDescent="0.3"/>
  <cols>
    <col min="1" max="1" width="2.77734375" customWidth="1"/>
    <col min="2" max="2" width="20.109375" bestFit="1" customWidth="1"/>
    <col min="12" max="12" width="2.77734375" customWidth="1"/>
    <col min="13" max="13" width="29.109375" bestFit="1" customWidth="1"/>
  </cols>
  <sheetData>
    <row r="1" spans="2:19" ht="14.4" customHeight="1" thickTop="1" thickBot="1" x14ac:dyDescent="0.35">
      <c r="B1" s="27" t="s">
        <v>55</v>
      </c>
      <c r="C1" s="28" t="s">
        <v>56</v>
      </c>
      <c r="D1" s="28" t="s">
        <v>57</v>
      </c>
      <c r="E1" s="28" t="s">
        <v>58</v>
      </c>
      <c r="F1" s="28" t="s">
        <v>59</v>
      </c>
      <c r="G1" s="28" t="s">
        <v>60</v>
      </c>
      <c r="H1" s="28" t="s">
        <v>250</v>
      </c>
      <c r="I1" s="28" t="s">
        <v>251</v>
      </c>
      <c r="J1" s="28" t="s">
        <v>61</v>
      </c>
      <c r="K1" s="28" t="s">
        <v>62</v>
      </c>
      <c r="M1" s="29" t="s">
        <v>63</v>
      </c>
    </row>
    <row r="2" spans="2:19" ht="14.4" customHeight="1" thickTop="1" thickBot="1" x14ac:dyDescent="0.35">
      <c r="B2" t="s">
        <v>64</v>
      </c>
      <c r="C2" s="30" t="s">
        <v>65</v>
      </c>
      <c r="D2" s="30" t="s">
        <v>66</v>
      </c>
      <c r="E2" s="30" t="s">
        <v>67</v>
      </c>
      <c r="F2" s="31">
        <v>1</v>
      </c>
      <c r="G2" s="32">
        <v>42644</v>
      </c>
      <c r="H2" s="33">
        <f ca="1">(TODAY()-G2)/365</f>
        <v>9.8767123287671232</v>
      </c>
      <c r="I2" s="34">
        <f t="shared" ref="I2:I11" ca="1" si="0">$C$38*H2^3+$D$38*H2^2+$E$38*H2+$F$38</f>
        <v>76.377824374202277</v>
      </c>
      <c r="J2" s="34">
        <f ca="1">I2*$C$29</f>
        <v>82.48805032413847</v>
      </c>
      <c r="K2" s="30">
        <v>1</v>
      </c>
      <c r="M2" s="35">
        <f>'[1]Stock Master'!$C$2</f>
        <v>59.9</v>
      </c>
    </row>
    <row r="3" spans="2:19" ht="14.4" customHeight="1" thickTop="1" x14ac:dyDescent="0.3">
      <c r="B3" t="s">
        <v>68</v>
      </c>
      <c r="C3" s="30" t="s">
        <v>65</v>
      </c>
      <c r="D3" s="30" t="s">
        <v>66</v>
      </c>
      <c r="E3" s="30" t="s">
        <v>67</v>
      </c>
      <c r="F3" s="31">
        <v>1</v>
      </c>
      <c r="G3" s="32">
        <v>42736</v>
      </c>
      <c r="H3" s="33">
        <f t="shared" ref="H3:H19" ca="1" si="1">(TODAY()-G3)/365</f>
        <v>9.624657534246575</v>
      </c>
      <c r="I3" s="34">
        <f t="shared" ca="1" si="0"/>
        <v>77.101385386388387</v>
      </c>
      <c r="J3" s="34">
        <f t="shared" ref="J3:J19" ca="1" si="2">I3*$C$29</f>
        <v>83.269496217299462</v>
      </c>
      <c r="K3" s="30">
        <v>1</v>
      </c>
    </row>
    <row r="4" spans="2:19" ht="14.4" customHeight="1" x14ac:dyDescent="0.3">
      <c r="B4" t="s">
        <v>69</v>
      </c>
      <c r="C4" s="30" t="s">
        <v>65</v>
      </c>
      <c r="D4" s="30" t="s">
        <v>70</v>
      </c>
      <c r="E4" s="30" t="s">
        <v>71</v>
      </c>
      <c r="F4" s="31">
        <v>1</v>
      </c>
      <c r="G4" s="32">
        <v>43221</v>
      </c>
      <c r="H4" s="33">
        <f t="shared" ca="1" si="1"/>
        <v>8.2958904109589042</v>
      </c>
      <c r="I4" s="34">
        <f t="shared" ca="1" si="0"/>
        <v>80.806052800441961</v>
      </c>
      <c r="J4" s="34">
        <f t="shared" ca="1" si="2"/>
        <v>87.270537024477321</v>
      </c>
      <c r="K4" s="30">
        <v>1</v>
      </c>
      <c r="M4" s="36" t="s">
        <v>72</v>
      </c>
      <c r="N4" s="37" t="s">
        <v>73</v>
      </c>
      <c r="O4" s="37" t="s">
        <v>74</v>
      </c>
      <c r="P4" s="38" t="s">
        <v>75</v>
      </c>
      <c r="Q4" s="38" t="s">
        <v>76</v>
      </c>
      <c r="R4" s="38" t="s">
        <v>77</v>
      </c>
      <c r="S4" s="38" t="s">
        <v>277</v>
      </c>
    </row>
    <row r="5" spans="2:19" ht="14.4" customHeight="1" x14ac:dyDescent="0.3">
      <c r="B5" t="s">
        <v>78</v>
      </c>
      <c r="C5" s="30" t="s">
        <v>65</v>
      </c>
      <c r="D5" s="30" t="s">
        <v>70</v>
      </c>
      <c r="E5" s="30" t="s">
        <v>71</v>
      </c>
      <c r="F5" s="31">
        <v>1</v>
      </c>
      <c r="G5" s="32">
        <v>43344</v>
      </c>
      <c r="H5" s="33">
        <f t="shared" ca="1" si="1"/>
        <v>7.9589041095890414</v>
      </c>
      <c r="I5" s="34">
        <f t="shared" ca="1" si="0"/>
        <v>81.718404402324438</v>
      </c>
      <c r="J5" s="34">
        <f t="shared" ca="1" si="2"/>
        <v>88.255876754510396</v>
      </c>
      <c r="K5" s="30">
        <v>1</v>
      </c>
      <c r="M5" s="39" t="s">
        <v>79</v>
      </c>
      <c r="N5" s="40">
        <v>1733.13</v>
      </c>
      <c r="O5" s="40">
        <v>1877.43</v>
      </c>
      <c r="P5" s="40">
        <f ca="1">SUM($J$2:$J$19)*P19</f>
        <v>2028.7463728952353</v>
      </c>
      <c r="Q5" s="40">
        <f ca="1">SUM($J$2:$J$19)*Q19</f>
        <v>2018.6026410307591</v>
      </c>
      <c r="R5" s="40">
        <f ca="1">SUM($J$2:$J$19)*R19</f>
        <v>2008.4589091662829</v>
      </c>
      <c r="S5" s="40">
        <f ca="1">SUM($J$2:$J$19)*S19</f>
        <v>1998.3151773018067</v>
      </c>
    </row>
    <row r="6" spans="2:19" ht="14.4" customHeight="1" x14ac:dyDescent="0.3">
      <c r="B6" t="s">
        <v>80</v>
      </c>
      <c r="C6" s="30" t="s">
        <v>65</v>
      </c>
      <c r="D6" s="30" t="s">
        <v>81</v>
      </c>
      <c r="E6" s="30" t="s">
        <v>67</v>
      </c>
      <c r="F6" s="31">
        <v>1</v>
      </c>
      <c r="G6" s="32">
        <v>44075</v>
      </c>
      <c r="H6" s="33">
        <f t="shared" ca="1" si="1"/>
        <v>5.956164383561644</v>
      </c>
      <c r="I6" s="34">
        <f t="shared" ca="1" si="0"/>
        <v>86.947983156821991</v>
      </c>
      <c r="J6" s="34">
        <f t="shared" ca="1" si="2"/>
        <v>93.903821809367756</v>
      </c>
      <c r="K6" s="30">
        <v>1</v>
      </c>
      <c r="M6" s="39" t="s">
        <v>82</v>
      </c>
      <c r="N6" s="40">
        <f>-Balance!I45/1000000</f>
        <v>-683.14896099999999</v>
      </c>
      <c r="O6" s="40">
        <f>-Balance!J45/1000000</f>
        <v>-722.55541200000005</v>
      </c>
      <c r="P6" s="40">
        <f>-Balance!K45/1000000</f>
        <v>-709.62882475000004</v>
      </c>
      <c r="Q6" s="40">
        <f>-Balance!L45/1000000</f>
        <v>-696.70223750000002</v>
      </c>
      <c r="R6" s="40">
        <f>-Balance!M45/1000000</f>
        <v>-683.77565025000001</v>
      </c>
      <c r="S6" s="40">
        <f>-Balance!N45/1000000</f>
        <v>-670.849063</v>
      </c>
    </row>
    <row r="7" spans="2:19" ht="14.4" customHeight="1" x14ac:dyDescent="0.3">
      <c r="B7" t="s">
        <v>83</v>
      </c>
      <c r="C7" s="30" t="s">
        <v>65</v>
      </c>
      <c r="D7" s="30" t="s">
        <v>81</v>
      </c>
      <c r="E7" s="30" t="s">
        <v>67</v>
      </c>
      <c r="F7" s="31">
        <v>1</v>
      </c>
      <c r="G7" s="32">
        <v>44075</v>
      </c>
      <c r="H7" s="33">
        <f t="shared" ca="1" si="1"/>
        <v>5.956164383561644</v>
      </c>
      <c r="I7" s="34">
        <f t="shared" ca="1" si="0"/>
        <v>86.947983156821991</v>
      </c>
      <c r="J7" s="34">
        <f t="shared" ca="1" si="2"/>
        <v>93.903821809367756</v>
      </c>
      <c r="K7" s="30">
        <v>1</v>
      </c>
      <c r="M7" s="41" t="s">
        <v>84</v>
      </c>
      <c r="N7" s="40">
        <f>(Balance!I8+Balance!I17+Balance!I18)/1000000</f>
        <v>176.519699</v>
      </c>
      <c r="O7" s="40">
        <f>(Balance!J8+Balance!J17+Balance!J18)/1000000</f>
        <v>247.80690300000001</v>
      </c>
      <c r="P7" s="40">
        <f>(Balance!K8+Balance!K17+Balance!K18)/1000000</f>
        <v>205.310731</v>
      </c>
      <c r="Q7" s="40">
        <f>(Balance!L8+Balance!L17+Balance!L18)/1000000</f>
        <v>182.00598174999996</v>
      </c>
      <c r="R7" s="40">
        <f>(Balance!M8+Balance!M17+Balance!M18)/1000000</f>
        <v>130.75527249999999</v>
      </c>
      <c r="S7" s="40">
        <f>(Balance!N8+Balance!N17+Balance!N18)/1000000</f>
        <v>89.716395250000005</v>
      </c>
    </row>
    <row r="8" spans="2:19" ht="14.4" customHeight="1" x14ac:dyDescent="0.3">
      <c r="B8" t="s">
        <v>85</v>
      </c>
      <c r="C8" s="30" t="s">
        <v>65</v>
      </c>
      <c r="D8" s="30" t="s">
        <v>86</v>
      </c>
      <c r="E8" s="30" t="s">
        <v>67</v>
      </c>
      <c r="F8" s="31">
        <v>1</v>
      </c>
      <c r="G8" s="32">
        <v>46023</v>
      </c>
      <c r="H8" s="33">
        <f t="shared" ca="1" si="1"/>
        <v>0.61917808219178083</v>
      </c>
      <c r="I8" s="34">
        <f t="shared" ca="1" si="0"/>
        <v>99.873943281324856</v>
      </c>
      <c r="J8" s="34">
        <f t="shared" ca="1" si="2"/>
        <v>107.86385874383085</v>
      </c>
      <c r="K8" s="30">
        <v>1</v>
      </c>
      <c r="M8" s="39" t="s">
        <v>87</v>
      </c>
      <c r="N8" s="40">
        <f>Balance!I53/1000000</f>
        <v>127.027278</v>
      </c>
      <c r="O8" s="40">
        <f>Balance!J53/1000000</f>
        <v>159.992673</v>
      </c>
      <c r="P8" s="40">
        <f>Balance!K53/1000000</f>
        <v>139.85941399999999</v>
      </c>
      <c r="Q8" s="40">
        <f>Balance!L53/1000000</f>
        <v>139.85941399999999</v>
      </c>
      <c r="R8" s="40">
        <f>Balance!M53/1000000</f>
        <v>139.85941399999999</v>
      </c>
      <c r="S8" s="40">
        <f>Balance!N53/1000000</f>
        <v>139.85941399999999</v>
      </c>
    </row>
    <row r="9" spans="2:19" ht="14.4" customHeight="1" x14ac:dyDescent="0.3">
      <c r="B9" t="s">
        <v>88</v>
      </c>
      <c r="C9" s="30" t="s">
        <v>65</v>
      </c>
      <c r="D9" s="30" t="s">
        <v>86</v>
      </c>
      <c r="E9" s="30" t="s">
        <v>67</v>
      </c>
      <c r="F9" s="31">
        <v>1</v>
      </c>
      <c r="G9" s="32">
        <v>46023</v>
      </c>
      <c r="H9" s="33">
        <f t="shared" ca="1" si="1"/>
        <v>0.61917808219178083</v>
      </c>
      <c r="I9" s="34">
        <f t="shared" ca="1" si="0"/>
        <v>99.873943281324856</v>
      </c>
      <c r="J9" s="34">
        <f t="shared" ca="1" si="2"/>
        <v>107.86385874383085</v>
      </c>
      <c r="K9" s="30">
        <v>1</v>
      </c>
      <c r="M9" s="42" t="s">
        <v>89</v>
      </c>
      <c r="N9" s="40">
        <f t="shared" ref="N9:S9" si="3">N21*2</f>
        <v>0</v>
      </c>
      <c r="O9" s="40">
        <f t="shared" si="3"/>
        <v>0</v>
      </c>
      <c r="P9" s="40">
        <f t="shared" si="3"/>
        <v>36</v>
      </c>
      <c r="Q9" s="40">
        <f t="shared" si="3"/>
        <v>36</v>
      </c>
      <c r="R9" s="40">
        <f t="shared" si="3"/>
        <v>36</v>
      </c>
      <c r="S9" s="40">
        <f t="shared" si="3"/>
        <v>36</v>
      </c>
    </row>
    <row r="10" spans="2:19" ht="14.4" customHeight="1" x14ac:dyDescent="0.3">
      <c r="B10" s="17" t="s">
        <v>260</v>
      </c>
      <c r="C10" s="30" t="s">
        <v>65</v>
      </c>
      <c r="D10" s="30" t="s">
        <v>86</v>
      </c>
      <c r="E10" s="30" t="s">
        <v>67</v>
      </c>
      <c r="F10" s="31">
        <v>1</v>
      </c>
      <c r="G10" s="32">
        <v>46143</v>
      </c>
      <c r="H10" s="33">
        <f t="shared" ca="1" si="1"/>
        <v>0.29041095890410956</v>
      </c>
      <c r="I10" s="34">
        <f t="shared" ca="1" si="0"/>
        <v>100.65067879904886</v>
      </c>
      <c r="J10" s="34">
        <f t="shared" ca="1" si="2"/>
        <v>108.70273310297277</v>
      </c>
      <c r="K10" s="30">
        <v>1</v>
      </c>
      <c r="M10" s="39" t="s">
        <v>90</v>
      </c>
      <c r="N10" s="40">
        <f t="shared" ref="N10:S10" si="4">SUM(N5:N9)</f>
        <v>1353.5280160000002</v>
      </c>
      <c r="O10" s="40">
        <f t="shared" si="4"/>
        <v>1562.674164</v>
      </c>
      <c r="P10" s="40">
        <f t="shared" ca="1" si="4"/>
        <v>1700.2876931452352</v>
      </c>
      <c r="Q10" s="40">
        <f t="shared" ca="1" si="4"/>
        <v>1679.765799280759</v>
      </c>
      <c r="R10" s="40">
        <f t="shared" ca="1" si="4"/>
        <v>1631.2979454162828</v>
      </c>
      <c r="S10" s="40">
        <f t="shared" ca="1" si="4"/>
        <v>1593.0419235518066</v>
      </c>
    </row>
    <row r="11" spans="2:19" ht="14.4" customHeight="1" x14ac:dyDescent="0.3">
      <c r="B11" s="43" t="s">
        <v>276</v>
      </c>
      <c r="C11" s="30" t="s">
        <v>65</v>
      </c>
      <c r="D11" s="30" t="s">
        <v>86</v>
      </c>
      <c r="E11" s="30" t="s">
        <v>67</v>
      </c>
      <c r="F11" s="31">
        <v>1</v>
      </c>
      <c r="G11" s="44">
        <v>46204</v>
      </c>
      <c r="H11" s="45">
        <v>0</v>
      </c>
      <c r="I11" s="34">
        <f t="shared" si="0"/>
        <v>101.33704761904764</v>
      </c>
      <c r="J11" s="34">
        <f t="shared" si="2"/>
        <v>109.44401142857146</v>
      </c>
      <c r="K11" s="30">
        <v>1</v>
      </c>
      <c r="M11" s="39"/>
      <c r="N11" s="40"/>
      <c r="O11" s="40"/>
      <c r="P11" s="40"/>
      <c r="Q11" s="40"/>
      <c r="R11" s="40"/>
      <c r="S11" s="40"/>
    </row>
    <row r="12" spans="2:19" ht="14.4" customHeight="1" x14ac:dyDescent="0.3">
      <c r="B12" t="s">
        <v>91</v>
      </c>
      <c r="C12" s="30" t="s">
        <v>92</v>
      </c>
      <c r="D12" s="30" t="s">
        <v>93</v>
      </c>
      <c r="E12" s="30" t="s">
        <v>67</v>
      </c>
      <c r="F12" s="31">
        <v>1</v>
      </c>
      <c r="G12" s="32">
        <v>43586</v>
      </c>
      <c r="H12" s="33">
        <f t="shared" ca="1" si="1"/>
        <v>7.2958904109589042</v>
      </c>
      <c r="I12" s="34">
        <f t="shared" ref="I12:I19" ca="1" si="5">$C$37*H12^3+$D$37*H12^2+$E$37*H12+$F$37</f>
        <v>119.13901386603692</v>
      </c>
      <c r="J12" s="34">
        <f t="shared" ca="1" si="2"/>
        <v>128.67013497531988</v>
      </c>
      <c r="K12" s="30">
        <v>1</v>
      </c>
      <c r="M12" s="39" t="s">
        <v>94</v>
      </c>
      <c r="N12" s="40">
        <f>'P&amp;L'!I43/1000000</f>
        <v>38.161938999999997</v>
      </c>
      <c r="O12" s="40">
        <f>'P&amp;L'!J43/1000000</f>
        <v>39.044654999999999</v>
      </c>
      <c r="P12" s="40">
        <f>'P&amp;L'!K43/1000000</f>
        <v>39.044654999999999</v>
      </c>
      <c r="Q12" s="40">
        <f>'P&amp;L'!L43/1000000</f>
        <v>39.044654999999999</v>
      </c>
      <c r="R12" s="40">
        <f>'P&amp;L'!M43/1000000</f>
        <v>39.044654999999999</v>
      </c>
      <c r="S12" s="40">
        <f>'P&amp;L'!N43/1000000</f>
        <v>39.044654999999999</v>
      </c>
    </row>
    <row r="13" spans="2:19" ht="14.4" customHeight="1" x14ac:dyDescent="0.3">
      <c r="B13" t="s">
        <v>95</v>
      </c>
      <c r="C13" s="30" t="s">
        <v>92</v>
      </c>
      <c r="D13" s="30" t="s">
        <v>93</v>
      </c>
      <c r="E13" s="30" t="s">
        <v>67</v>
      </c>
      <c r="F13" s="31">
        <v>1</v>
      </c>
      <c r="G13" s="32">
        <v>43617</v>
      </c>
      <c r="H13" s="33">
        <f t="shared" ca="1" si="1"/>
        <v>7.2109589041095887</v>
      </c>
      <c r="I13" s="34">
        <f t="shared" ca="1" si="5"/>
        <v>119.52056877293003</v>
      </c>
      <c r="J13" s="34">
        <f t="shared" ca="1" si="2"/>
        <v>129.08221427476445</v>
      </c>
      <c r="K13" s="30">
        <v>1</v>
      </c>
      <c r="M13" s="39"/>
      <c r="N13" s="40"/>
      <c r="O13" s="40"/>
      <c r="P13" s="40"/>
      <c r="Q13" s="40"/>
      <c r="R13" s="40"/>
      <c r="S13" s="40"/>
    </row>
    <row r="14" spans="2:19" ht="14.4" customHeight="1" x14ac:dyDescent="0.3">
      <c r="B14" t="s">
        <v>96</v>
      </c>
      <c r="C14" s="30" t="s">
        <v>92</v>
      </c>
      <c r="D14" s="30" t="s">
        <v>93</v>
      </c>
      <c r="E14" s="30" t="s">
        <v>67</v>
      </c>
      <c r="F14" s="31">
        <v>1</v>
      </c>
      <c r="G14" s="32">
        <v>43678</v>
      </c>
      <c r="H14" s="33">
        <f t="shared" ca="1" si="1"/>
        <v>7.043835616438356</v>
      </c>
      <c r="I14" s="34">
        <f t="shared" ca="1" si="5"/>
        <v>120.26943387593158</v>
      </c>
      <c r="J14" s="34">
        <f t="shared" ca="1" si="2"/>
        <v>129.89098858600613</v>
      </c>
      <c r="K14" s="30">
        <v>1</v>
      </c>
      <c r="M14" s="39" t="s">
        <v>97</v>
      </c>
      <c r="N14" s="40">
        <f t="shared" ref="N14:S14" si="6">N10/N12</f>
        <v>35.468009526455148</v>
      </c>
      <c r="O14" s="40">
        <f t="shared" si="6"/>
        <v>40.022742267795685</v>
      </c>
      <c r="P14" s="40">
        <f t="shared" ca="1" si="6"/>
        <v>43.547258725816256</v>
      </c>
      <c r="Q14" s="40">
        <f t="shared" ca="1" si="6"/>
        <v>43.021658131715057</v>
      </c>
      <c r="R14" s="40">
        <f t="shared" ca="1" si="6"/>
        <v>41.780313987056175</v>
      </c>
      <c r="S14" s="40">
        <f t="shared" ca="1" si="6"/>
        <v>40.800512222525889</v>
      </c>
    </row>
    <row r="15" spans="2:19" ht="14.4" customHeight="1" x14ac:dyDescent="0.3">
      <c r="B15" t="s">
        <v>98</v>
      </c>
      <c r="C15" s="30" t="s">
        <v>92</v>
      </c>
      <c r="D15" s="30" t="s">
        <v>93</v>
      </c>
      <c r="E15" s="30" t="s">
        <v>67</v>
      </c>
      <c r="F15" s="31">
        <v>1</v>
      </c>
      <c r="G15" s="32">
        <v>43709</v>
      </c>
      <c r="H15" s="33">
        <f t="shared" ca="1" si="1"/>
        <v>6.9589041095890414</v>
      </c>
      <c r="I15" s="34">
        <f t="shared" ca="1" si="5"/>
        <v>120.6490205170762</v>
      </c>
      <c r="J15" s="34">
        <f t="shared" ca="1" si="2"/>
        <v>130.3009421584423</v>
      </c>
      <c r="K15" s="30">
        <v>1</v>
      </c>
      <c r="M15" s="39" t="s">
        <v>99</v>
      </c>
      <c r="N15" s="46">
        <v>1.55</v>
      </c>
      <c r="O15" s="46">
        <v>2</v>
      </c>
      <c r="P15" s="181">
        <v>5.25</v>
      </c>
      <c r="Q15" s="47">
        <f>'P&amp;L'!K39</f>
        <v>6.1941015229869496</v>
      </c>
      <c r="R15" s="47">
        <f>'P&amp;L'!L39</f>
        <v>5.6021331729016426</v>
      </c>
      <c r="S15" s="47">
        <f>'P&amp;L'!M39</f>
        <v>4.2944212722586483</v>
      </c>
    </row>
    <row r="16" spans="2:19" ht="14.4" customHeight="1" x14ac:dyDescent="0.3">
      <c r="B16" t="s">
        <v>100</v>
      </c>
      <c r="C16" s="30" t="s">
        <v>92</v>
      </c>
      <c r="D16" s="30" t="s">
        <v>93</v>
      </c>
      <c r="E16" s="30" t="s">
        <v>67</v>
      </c>
      <c r="F16" s="31">
        <v>1</v>
      </c>
      <c r="G16" s="32">
        <v>43739</v>
      </c>
      <c r="H16" s="33">
        <f t="shared" ca="1" si="1"/>
        <v>6.8767123287671232</v>
      </c>
      <c r="I16" s="34">
        <f t="shared" ca="1" si="5"/>
        <v>121.0157309234105</v>
      </c>
      <c r="J16" s="34">
        <f t="shared" ca="1" si="2"/>
        <v>130.69698939728335</v>
      </c>
      <c r="K16" s="30">
        <v>1</v>
      </c>
      <c r="M16" s="48" t="s">
        <v>101</v>
      </c>
      <c r="N16" s="49">
        <f>SUM($M$2/(N12))</f>
        <v>1.5696267424985928</v>
      </c>
      <c r="O16" s="49">
        <f>SUM($M$2/(O14))</f>
        <v>1.4966490701512614</v>
      </c>
      <c r="P16" s="49">
        <f ca="1">SUM($M$2/(P14))</f>
        <v>1.3755171221487081</v>
      </c>
      <c r="Q16" s="49">
        <f ca="1">SUM($M$2/(Q14+Q15))</f>
        <v>1.2170898187950094</v>
      </c>
      <c r="R16" s="49">
        <f ca="1">SUM($M$2/(R14+R15))</f>
        <v>1.2641812230124865</v>
      </c>
      <c r="S16" s="49">
        <f ca="1">SUM($M$2/(S14+S15))</f>
        <v>1.3283088666031129</v>
      </c>
    </row>
    <row r="17" spans="2:19" ht="14.4" customHeight="1" x14ac:dyDescent="0.3">
      <c r="B17" t="s">
        <v>102</v>
      </c>
      <c r="C17" s="30" t="s">
        <v>92</v>
      </c>
      <c r="D17" s="30" t="s">
        <v>93</v>
      </c>
      <c r="E17" s="30" t="s">
        <v>67</v>
      </c>
      <c r="F17" s="31">
        <v>1</v>
      </c>
      <c r="G17" s="32">
        <v>43831</v>
      </c>
      <c r="H17" s="33">
        <f t="shared" ca="1" si="1"/>
        <v>6.624657534246575</v>
      </c>
      <c r="I17" s="34">
        <f t="shared" ca="1" si="5"/>
        <v>122.13643611858149</v>
      </c>
      <c r="J17" s="34">
        <f t="shared" ca="1" si="2"/>
        <v>131.90735100806802</v>
      </c>
      <c r="K17" s="30">
        <v>1</v>
      </c>
      <c r="M17" s="24"/>
    </row>
    <row r="18" spans="2:19" ht="14.4" customHeight="1" thickBot="1" x14ac:dyDescent="0.35">
      <c r="B18" t="s">
        <v>103</v>
      </c>
      <c r="C18" s="30" t="s">
        <v>92</v>
      </c>
      <c r="D18" s="30" t="s">
        <v>93</v>
      </c>
      <c r="E18" s="30" t="s">
        <v>67</v>
      </c>
      <c r="F18" s="31">
        <v>1</v>
      </c>
      <c r="G18" s="32">
        <v>44621</v>
      </c>
      <c r="H18" s="33">
        <f t="shared" ca="1" si="1"/>
        <v>4.4602739726027396</v>
      </c>
      <c r="I18" s="34">
        <f t="shared" ca="1" si="5"/>
        <v>131.51936717130957</v>
      </c>
      <c r="J18" s="34">
        <f t="shared" ca="1" si="2"/>
        <v>142.04091654501434</v>
      </c>
      <c r="K18" s="30">
        <v>1</v>
      </c>
      <c r="M18" s="24"/>
    </row>
    <row r="19" spans="2:19" ht="14.4" customHeight="1" x14ac:dyDescent="0.3">
      <c r="B19" t="s">
        <v>104</v>
      </c>
      <c r="C19" s="30" t="s">
        <v>92</v>
      </c>
      <c r="D19" s="30" t="s">
        <v>105</v>
      </c>
      <c r="E19" s="30" t="s">
        <v>67</v>
      </c>
      <c r="F19" s="31">
        <v>1</v>
      </c>
      <c r="G19" s="32">
        <v>44713</v>
      </c>
      <c r="H19" s="33">
        <f t="shared" ca="1" si="1"/>
        <v>4.2082191780821914</v>
      </c>
      <c r="I19" s="34">
        <f t="shared" ca="1" si="5"/>
        <v>132.58404628886075</v>
      </c>
      <c r="J19" s="34">
        <f t="shared" ca="1" si="2"/>
        <v>143.1907699919696</v>
      </c>
      <c r="K19" s="30">
        <v>1</v>
      </c>
      <c r="M19" s="50" t="s">
        <v>106</v>
      </c>
      <c r="N19" s="51"/>
      <c r="O19" s="51"/>
      <c r="P19" s="52">
        <v>1</v>
      </c>
      <c r="Q19" s="52">
        <v>0.995</v>
      </c>
      <c r="R19" s="52">
        <v>0.99</v>
      </c>
      <c r="S19" s="53">
        <v>0.98499999999999999</v>
      </c>
    </row>
    <row r="20" spans="2:19" ht="14.4" customHeight="1" x14ac:dyDescent="0.3">
      <c r="B20" s="17"/>
      <c r="C20" s="54"/>
      <c r="D20" s="54"/>
      <c r="E20" s="54"/>
      <c r="F20" s="55"/>
      <c r="G20" s="56"/>
      <c r="H20" s="57"/>
      <c r="I20" s="58"/>
      <c r="J20" s="58"/>
      <c r="K20" s="54"/>
      <c r="M20" s="59" t="s">
        <v>107</v>
      </c>
      <c r="N20" s="60"/>
      <c r="O20" s="60"/>
      <c r="P20" s="60">
        <f ca="1">P5/O5-1</f>
        <v>8.0597611040217343E-2</v>
      </c>
      <c r="Q20" s="60">
        <f ca="1">Q5/P5-1</f>
        <v>-5.0000000000000044E-3</v>
      </c>
      <c r="R20" s="60">
        <f ca="1">R5/Q5-1</f>
        <v>-5.0251256281407253E-3</v>
      </c>
      <c r="S20" s="61">
        <f ca="1">S5/R5-1</f>
        <v>-5.050505050505083E-3</v>
      </c>
    </row>
    <row r="21" spans="2:19" ht="14.4" customHeight="1" x14ac:dyDescent="0.3">
      <c r="B21" s="17"/>
      <c r="C21" s="17"/>
      <c r="D21" s="17"/>
      <c r="E21" s="17"/>
      <c r="F21" s="17"/>
      <c r="G21" s="17"/>
      <c r="H21" s="17"/>
      <c r="I21" s="17"/>
      <c r="J21" s="17"/>
      <c r="K21" s="17"/>
      <c r="M21" s="62" t="s">
        <v>108</v>
      </c>
      <c r="N21" s="6"/>
      <c r="O21" s="6"/>
      <c r="P21" s="6">
        <f>COUNT($K$2:$K$19)</f>
        <v>18</v>
      </c>
      <c r="Q21" s="6">
        <f>COUNT($K$2:$K$19)</f>
        <v>18</v>
      </c>
      <c r="R21" s="6">
        <f>COUNT($K$2:$K$19)</f>
        <v>18</v>
      </c>
      <c r="S21" s="7">
        <f>COUNT($K$2:$K$19)</f>
        <v>18</v>
      </c>
    </row>
    <row r="22" spans="2:19" ht="14.4" customHeight="1" x14ac:dyDescent="0.3">
      <c r="M22" s="62" t="s">
        <v>109</v>
      </c>
      <c r="N22" s="6"/>
      <c r="O22" s="6"/>
      <c r="P22" s="6">
        <f ca="1">COUNT($H$2:$H$19)</f>
        <v>18</v>
      </c>
      <c r="Q22" s="6">
        <f ca="1">COUNT($H$2:$H$19)</f>
        <v>18</v>
      </c>
      <c r="R22" s="6">
        <f ca="1">COUNT($H$2:$H$19)</f>
        <v>18</v>
      </c>
      <c r="S22" s="7">
        <f ca="1">COUNT($H$2:$H$19)</f>
        <v>18</v>
      </c>
    </row>
    <row r="23" spans="2:19" ht="14.4" customHeight="1" thickBot="1" x14ac:dyDescent="0.35">
      <c r="B23" s="23" t="s">
        <v>110</v>
      </c>
      <c r="M23" s="63" t="s">
        <v>111</v>
      </c>
      <c r="N23" s="64"/>
      <c r="O23" s="64"/>
      <c r="P23" s="64">
        <f ca="1">(P22/P21)</f>
        <v>1</v>
      </c>
      <c r="Q23" s="64">
        <f ca="1">(Q22/Q21)</f>
        <v>1</v>
      </c>
      <c r="R23" s="64">
        <f ca="1">(R22/R21)</f>
        <v>1</v>
      </c>
      <c r="S23" s="65">
        <f ca="1">(S22/S21)</f>
        <v>1</v>
      </c>
    </row>
    <row r="24" spans="2:19" ht="14.4" customHeight="1" thickBot="1" x14ac:dyDescent="0.35">
      <c r="B24" s="43" t="s">
        <v>112</v>
      </c>
      <c r="M24" s="24"/>
      <c r="N24" s="66"/>
      <c r="O24" s="66"/>
      <c r="P24" s="66"/>
      <c r="Q24" s="66"/>
      <c r="R24" s="66"/>
      <c r="S24" s="66"/>
    </row>
    <row r="25" spans="2:19" ht="14.4" customHeight="1" x14ac:dyDescent="0.3">
      <c r="M25" s="67" t="s">
        <v>113</v>
      </c>
      <c r="N25" s="68"/>
      <c r="O25" s="68">
        <v>187700</v>
      </c>
      <c r="P25" s="69">
        <f>206000*0.85</f>
        <v>175100</v>
      </c>
      <c r="Q25" s="69">
        <f>P25*0.9</f>
        <v>157590</v>
      </c>
      <c r="R25" s="69">
        <f>Q25*0.8</f>
        <v>126072</v>
      </c>
      <c r="S25" s="70">
        <f>R25*0.8</f>
        <v>100857.60000000001</v>
      </c>
    </row>
    <row r="26" spans="2:19" ht="14.4" customHeight="1" x14ac:dyDescent="0.3">
      <c r="M26" s="71" t="s">
        <v>114</v>
      </c>
      <c r="N26" s="72"/>
      <c r="O26" s="72">
        <v>174900</v>
      </c>
      <c r="P26" s="73">
        <f>133000*0.9</f>
        <v>119700</v>
      </c>
      <c r="Q26" s="73">
        <f>P26*0.9</f>
        <v>107730</v>
      </c>
      <c r="R26" s="73">
        <f>Q26*0.8</f>
        <v>86184</v>
      </c>
      <c r="S26" s="74">
        <f>R26*0.8</f>
        <v>68947.199999999997</v>
      </c>
    </row>
    <row r="27" spans="2:19" ht="14.4" customHeight="1" thickBot="1" x14ac:dyDescent="0.35">
      <c r="M27" s="75" t="s">
        <v>116</v>
      </c>
      <c r="N27" s="76"/>
      <c r="O27" s="76">
        <v>0.91</v>
      </c>
      <c r="P27" s="76">
        <v>0.94</v>
      </c>
      <c r="Q27" s="76"/>
      <c r="R27" s="76"/>
      <c r="S27" s="77"/>
    </row>
    <row r="28" spans="2:19" ht="14.4" customHeight="1" x14ac:dyDescent="0.3">
      <c r="B28" s="1" t="s">
        <v>115</v>
      </c>
      <c r="M28" s="24"/>
      <c r="N28" s="79"/>
      <c r="O28" s="79"/>
      <c r="P28" s="79"/>
      <c r="Q28" s="79"/>
      <c r="R28" s="79"/>
      <c r="S28" s="79"/>
    </row>
    <row r="29" spans="2:19" ht="14.4" customHeight="1" thickBot="1" x14ac:dyDescent="0.35">
      <c r="B29" s="6" t="s">
        <v>117</v>
      </c>
      <c r="C29" s="78">
        <v>1.08</v>
      </c>
      <c r="M29" s="80" t="s">
        <v>118</v>
      </c>
      <c r="N29" s="6"/>
      <c r="O29" s="6"/>
      <c r="P29" s="6"/>
      <c r="Q29" s="81" t="s">
        <v>119</v>
      </c>
      <c r="R29" s="81"/>
      <c r="S29" s="81" t="s">
        <v>120</v>
      </c>
    </row>
    <row r="30" spans="2:19" ht="14.4" customHeight="1" x14ac:dyDescent="0.3">
      <c r="B30" s="6" t="s">
        <v>71</v>
      </c>
      <c r="C30" s="78">
        <v>1.07</v>
      </c>
      <c r="M30" s="67" t="s">
        <v>122</v>
      </c>
      <c r="N30" s="82"/>
      <c r="O30" s="82"/>
      <c r="P30" s="82"/>
      <c r="Q30" s="83">
        <f>$M$2*Q12</f>
        <v>2338.7748345</v>
      </c>
      <c r="R30" s="83"/>
      <c r="S30" s="84">
        <f>$M$2*S12</f>
        <v>2338.7748345</v>
      </c>
    </row>
    <row r="31" spans="2:19" ht="14.4" customHeight="1" x14ac:dyDescent="0.3">
      <c r="B31" s="6" t="s">
        <v>121</v>
      </c>
      <c r="C31" s="78">
        <v>1.02</v>
      </c>
      <c r="M31" s="71" t="s">
        <v>124</v>
      </c>
      <c r="N31" s="85"/>
      <c r="O31" s="85"/>
      <c r="P31" s="85"/>
      <c r="Q31" s="86">
        <f>Q30-Q6-Q7</f>
        <v>2853.4710902500001</v>
      </c>
      <c r="R31" s="86"/>
      <c r="S31" s="87">
        <f>S30-S6-S7</f>
        <v>2919.9075022500001</v>
      </c>
    </row>
    <row r="32" spans="2:19" ht="14.4" customHeight="1" x14ac:dyDescent="0.3">
      <c r="B32" s="6" t="s">
        <v>123</v>
      </c>
      <c r="C32" s="78">
        <v>1</v>
      </c>
      <c r="M32" s="71" t="s">
        <v>125</v>
      </c>
      <c r="N32" s="85"/>
      <c r="O32" s="85"/>
      <c r="P32" s="85"/>
      <c r="Q32" s="89">
        <f>SUM('P&amp;L'!I48:L48)</f>
        <v>20.042889793267662</v>
      </c>
      <c r="R32" s="89"/>
      <c r="S32" s="90">
        <f>SUM('P&amp;L'!K48:N48)</f>
        <v>19.338907719891495</v>
      </c>
    </row>
    <row r="33" spans="2:19" ht="14.4" customHeight="1" x14ac:dyDescent="0.3">
      <c r="L33" s="88"/>
      <c r="M33" s="71" t="s">
        <v>126</v>
      </c>
      <c r="N33" s="85"/>
      <c r="O33" s="85"/>
      <c r="P33" s="85"/>
      <c r="Q33" s="86">
        <f>SUM('P&amp;L'!I18:L18)/1000000</f>
        <v>865.78062499999999</v>
      </c>
      <c r="R33" s="86"/>
      <c r="S33" s="87">
        <f>SUM('P&amp;L'!K18:N18)/1000000</f>
        <v>841.76309600000002</v>
      </c>
    </row>
    <row r="34" spans="2:19" ht="14.4" customHeight="1" x14ac:dyDescent="0.3">
      <c r="M34" s="71" t="s">
        <v>127</v>
      </c>
      <c r="N34" s="85"/>
      <c r="O34" s="85"/>
      <c r="P34" s="85"/>
      <c r="Q34" s="89">
        <f>SUM(N15:Q15)</f>
        <v>14.99410152298695</v>
      </c>
      <c r="R34" s="89"/>
      <c r="S34" s="90">
        <f>SUM(P15:S15)</f>
        <v>21.340655968147242</v>
      </c>
    </row>
    <row r="35" spans="2:19" ht="14.4" customHeight="1" x14ac:dyDescent="0.3">
      <c r="M35" s="71" t="s">
        <v>128</v>
      </c>
      <c r="N35" s="85"/>
      <c r="O35" s="85"/>
      <c r="P35" s="85"/>
      <c r="Q35" s="86">
        <f>SUM(CashFlow!I64:L64)/1000000</f>
        <v>428.34938199999999</v>
      </c>
      <c r="R35" s="86"/>
      <c r="S35" s="87">
        <f>SUM(CashFlow!K64:N64)/1000000</f>
        <v>726.85439099999996</v>
      </c>
    </row>
    <row r="36" spans="2:19" ht="14.4" customHeight="1" thickBot="1" x14ac:dyDescent="0.35">
      <c r="B36" s="1" t="s">
        <v>30</v>
      </c>
      <c r="M36" s="71" t="s">
        <v>129</v>
      </c>
      <c r="N36" s="93"/>
      <c r="O36" s="93"/>
      <c r="P36" s="93"/>
      <c r="Q36" s="94">
        <f>$M$2/Q32</f>
        <v>2.988590997497786</v>
      </c>
      <c r="R36" s="94"/>
      <c r="S36" s="95">
        <f>$M$2/S32</f>
        <v>3.0973827926376849</v>
      </c>
    </row>
    <row r="37" spans="2:19" ht="14.4" customHeight="1" x14ac:dyDescent="0.3">
      <c r="B37" s="67" t="s">
        <v>92</v>
      </c>
      <c r="C37" s="91">
        <f>'[1]Vessels Values Master'!$D$90</f>
        <v>4.4444444444331752E-6</v>
      </c>
      <c r="D37" s="91">
        <f>'[1]Vessels Values Master'!$E$90</f>
        <v>-4.6066666666666319E-2</v>
      </c>
      <c r="E37" s="91">
        <f>'[1]Vessels Values Master'!$F$90</f>
        <v>-3.8249206349206366</v>
      </c>
      <c r="F37" s="92">
        <f>'[1]Vessels Values Master'!$G$90</f>
        <v>149.49561904761904</v>
      </c>
      <c r="M37" s="71" t="s">
        <v>130</v>
      </c>
      <c r="N37" s="93"/>
      <c r="O37" s="93"/>
      <c r="P37" s="93"/>
      <c r="Q37" s="94">
        <f>Q31/Q33</f>
        <v>3.2958361597084713</v>
      </c>
      <c r="R37" s="94"/>
      <c r="S37" s="95">
        <f>S31/S33</f>
        <v>3.4687996137217212</v>
      </c>
    </row>
    <row r="38" spans="2:19" ht="14.4" customHeight="1" thickBot="1" x14ac:dyDescent="0.35">
      <c r="B38" s="75" t="s">
        <v>65</v>
      </c>
      <c r="C38" s="171">
        <f>'[1]Vessels Values Master'!$D$91</f>
        <v>-1.9955555555555738E-3</v>
      </c>
      <c r="D38" s="171">
        <f>'[1]Vessels Values Master'!$E$91</f>
        <v>3.2190476190483981E-3</v>
      </c>
      <c r="E38" s="171">
        <f>'[1]Vessels Values Master'!$F$91</f>
        <v>-2.3642063492063574</v>
      </c>
      <c r="F38" s="172">
        <f>'[1]Vessels Values Master'!$G$91</f>
        <v>101.33704761904764</v>
      </c>
      <c r="M38" s="71" t="s">
        <v>131</v>
      </c>
      <c r="N38" s="6"/>
      <c r="O38" s="6"/>
      <c r="P38" s="6"/>
      <c r="Q38" s="94">
        <f>$M$2/(Q35/Q12)</f>
        <v>5.4599701383484192</v>
      </c>
      <c r="R38" s="94"/>
      <c r="S38" s="95">
        <f>$M$2/(S35/S12)</f>
        <v>3.2176662388767214</v>
      </c>
    </row>
    <row r="39" spans="2:19" ht="14.4" customHeight="1" thickBot="1" x14ac:dyDescent="0.35">
      <c r="M39" s="75" t="s">
        <v>132</v>
      </c>
      <c r="N39" s="10"/>
      <c r="O39" s="10"/>
      <c r="P39" s="10"/>
      <c r="Q39" s="96">
        <f>Q34/$M$2</f>
        <v>0.25031889020011605</v>
      </c>
      <c r="R39" s="96"/>
      <c r="S39" s="97">
        <f>S34/$M$2</f>
        <v>0.35627138511097234</v>
      </c>
    </row>
    <row r="40" spans="2:19" ht="14.4" customHeight="1" x14ac:dyDescent="0.3">
      <c r="M40" s="6"/>
      <c r="N40" s="6"/>
      <c r="O40" s="6"/>
      <c r="P40" s="6"/>
    </row>
    <row r="51" spans="13:13" ht="14.4" customHeight="1" x14ac:dyDescent="0.3">
      <c r="M51" s="30"/>
    </row>
    <row r="52" spans="13:13" ht="14.4" customHeight="1" x14ac:dyDescent="0.3">
      <c r="M52" s="30"/>
    </row>
    <row r="53" spans="13:13" ht="14.4" customHeight="1" x14ac:dyDescent="0.3">
      <c r="M53" s="98"/>
    </row>
    <row r="84" spans="12:12" ht="14.4" customHeight="1" x14ac:dyDescent="0.3">
      <c r="L84" s="17"/>
    </row>
    <row r="85" spans="12:12" ht="14.4" customHeight="1" x14ac:dyDescent="0.3">
      <c r="L85" s="17"/>
    </row>
    <row r="86" spans="12:12" ht="14.4" customHeight="1" x14ac:dyDescent="0.3">
      <c r="L86" s="17"/>
    </row>
  </sheetData>
  <pageMargins left="0.7" right="0.7" top="0.75" bottom="0.75" header="0.3" footer="0.3"/>
  <pageSetup paperSize="9" orientation="portrait" horizontalDpi="0" verticalDpi="0"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01"/>
  <sheetViews>
    <sheetView showGridLines="0" zoomScale="85" zoomScaleNormal="85" workbookViewId="0">
      <pane xSplit="2" ySplit="1" topLeftCell="C2" activePane="bottomRight" state="frozen"/>
      <selection pane="topRight" activeCell="C1" sqref="C1"/>
      <selection pane="bottomLeft" activeCell="A2" sqref="A2"/>
      <selection pane="bottomRight" activeCell="P12" sqref="P12"/>
    </sheetView>
  </sheetViews>
  <sheetFormatPr baseColWidth="10" defaultColWidth="12.77734375" defaultRowHeight="14.4" customHeight="1" outlineLevelCol="1" x14ac:dyDescent="0.3"/>
  <cols>
    <col min="1" max="1" width="2.77734375" style="103" customWidth="1"/>
    <col min="2" max="2" width="50.77734375" style="107" customWidth="1"/>
    <col min="3" max="8" width="12.77734375" style="107" hidden="1" customWidth="1" outlineLevel="1"/>
    <col min="9" max="9" width="12.77734375" style="107" customWidth="1" collapsed="1"/>
    <col min="10" max="17" width="12.77734375" style="107" customWidth="1"/>
    <col min="18" max="16384" width="12.77734375" style="107"/>
  </cols>
  <sheetData>
    <row r="1" spans="1:14" customFormat="1" ht="14.4" customHeight="1" x14ac:dyDescent="0.3">
      <c r="A1" s="99"/>
      <c r="B1" s="100" t="s">
        <v>133</v>
      </c>
      <c r="C1" s="101">
        <v>2023</v>
      </c>
      <c r="D1" s="101">
        <v>2024</v>
      </c>
      <c r="E1" s="101" t="s">
        <v>134</v>
      </c>
      <c r="F1" s="101" t="s">
        <v>135</v>
      </c>
      <c r="G1" s="101" t="s">
        <v>136</v>
      </c>
      <c r="H1" s="101" t="s">
        <v>137</v>
      </c>
      <c r="I1" s="101" t="s">
        <v>73</v>
      </c>
      <c r="J1" s="101" t="s">
        <v>74</v>
      </c>
      <c r="K1" s="102" t="s">
        <v>75</v>
      </c>
      <c r="L1" s="102" t="s">
        <v>76</v>
      </c>
      <c r="M1" s="102" t="s">
        <v>77</v>
      </c>
      <c r="N1" s="102" t="s">
        <v>277</v>
      </c>
    </row>
    <row r="2" spans="1:14" ht="14.4" customHeight="1" x14ac:dyDescent="0.3">
      <c r="B2" s="104" t="s">
        <v>138</v>
      </c>
      <c r="C2" s="105">
        <v>413096606</v>
      </c>
      <c r="D2" s="106">
        <v>393229831</v>
      </c>
      <c r="E2" s="106">
        <v>80147652</v>
      </c>
      <c r="F2" s="106">
        <v>93947134</v>
      </c>
      <c r="G2" s="106">
        <v>90602272</v>
      </c>
      <c r="H2" s="106">
        <v>126851761</v>
      </c>
      <c r="I2" s="106">
        <v>170165016</v>
      </c>
      <c r="J2" s="106">
        <v>318852577</v>
      </c>
      <c r="K2" s="106">
        <f>SUM(K73:K90)</f>
        <v>278409000</v>
      </c>
      <c r="L2" s="106">
        <f>SUM(L73:L90)</f>
        <v>255295800</v>
      </c>
      <c r="M2" s="106">
        <f>SUM(M73:M90)</f>
        <v>204236640</v>
      </c>
      <c r="N2" s="106">
        <f>SUM(N73:N90)</f>
        <v>163389312</v>
      </c>
    </row>
    <row r="3" spans="1:14" ht="14.4" customHeight="1" x14ac:dyDescent="0.3">
      <c r="B3" s="108"/>
      <c r="C3" s="72"/>
    </row>
    <row r="4" spans="1:14" ht="14.4" customHeight="1" x14ac:dyDescent="0.3">
      <c r="B4" s="109" t="s">
        <v>139</v>
      </c>
      <c r="C4" s="110"/>
    </row>
    <row r="5" spans="1:14" ht="14.4" customHeight="1" x14ac:dyDescent="0.3">
      <c r="B5" s="111" t="s">
        <v>140</v>
      </c>
      <c r="C5" s="110">
        <v>-5757159</v>
      </c>
      <c r="D5" s="110">
        <v>-3997596</v>
      </c>
      <c r="E5" s="110">
        <v>-674183</v>
      </c>
      <c r="F5" s="110">
        <v>-1334189</v>
      </c>
      <c r="G5" s="110">
        <v>-994764</v>
      </c>
      <c r="H5" s="110">
        <v>-1259509</v>
      </c>
      <c r="I5" s="110">
        <v>-1703196</v>
      </c>
      <c r="J5" s="110">
        <v>-2557297</v>
      </c>
      <c r="K5" s="112"/>
      <c r="L5" s="112"/>
      <c r="M5" s="112"/>
      <c r="N5" s="112"/>
    </row>
    <row r="6" spans="1:14" ht="14.4" customHeight="1" x14ac:dyDescent="0.3">
      <c r="B6" s="111" t="s">
        <v>141</v>
      </c>
      <c r="C6" s="110">
        <v>-109559239</v>
      </c>
      <c r="D6" s="110">
        <v>-127196305</v>
      </c>
      <c r="E6" s="110">
        <v>-30917090</v>
      </c>
      <c r="F6" s="110">
        <v>-28600049</v>
      </c>
      <c r="G6" s="110">
        <v>-29661111</v>
      </c>
      <c r="H6" s="110">
        <v>-32692334</v>
      </c>
      <c r="I6" s="110">
        <v>-36241351</v>
      </c>
      <c r="J6" s="110">
        <v>-48155183</v>
      </c>
      <c r="K6" s="112"/>
      <c r="L6" s="112"/>
      <c r="M6" s="112"/>
      <c r="N6" s="112"/>
    </row>
    <row r="7" spans="1:14" ht="14.4" customHeight="1" x14ac:dyDescent="0.3">
      <c r="B7" s="111" t="s">
        <v>142</v>
      </c>
      <c r="C7" s="110">
        <v>-41742285</v>
      </c>
      <c r="D7" s="110">
        <v>-42434258</v>
      </c>
      <c r="E7" s="110">
        <v>-10499058</v>
      </c>
      <c r="F7" s="110">
        <v>-11546813</v>
      </c>
      <c r="G7" s="110">
        <v>-11739327</v>
      </c>
      <c r="H7" s="110">
        <v>-11455249</v>
      </c>
      <c r="I7" s="110">
        <v>-12231071</v>
      </c>
      <c r="J7" s="110">
        <v>-13336181</v>
      </c>
      <c r="K7" s="176">
        <v>-13336181</v>
      </c>
      <c r="L7" s="176">
        <v>-13336181</v>
      </c>
      <c r="M7" s="176">
        <v>-13336181</v>
      </c>
      <c r="N7" s="176">
        <v>-13336181</v>
      </c>
    </row>
    <row r="8" spans="1:14" ht="14.4" customHeight="1" x14ac:dyDescent="0.3">
      <c r="B8" s="111" t="s">
        <v>143</v>
      </c>
      <c r="C8" s="110">
        <v>-4599000</v>
      </c>
      <c r="D8" s="114">
        <v>-4611600</v>
      </c>
      <c r="E8" s="114">
        <v>-1134000</v>
      </c>
      <c r="F8" s="114">
        <v>-1146600</v>
      </c>
      <c r="G8" s="114">
        <v>-1159200</v>
      </c>
      <c r="H8" s="114">
        <v>-1159200</v>
      </c>
      <c r="I8" s="114">
        <v>-1391600</v>
      </c>
      <c r="J8" s="114">
        <v>-1459220</v>
      </c>
      <c r="K8" s="115"/>
      <c r="L8" s="115"/>
      <c r="M8" s="115"/>
      <c r="N8" s="115"/>
    </row>
    <row r="9" spans="1:14" ht="14.4" customHeight="1" x14ac:dyDescent="0.3">
      <c r="B9" s="111" t="s">
        <v>144</v>
      </c>
      <c r="C9" s="110">
        <v>-40382628</v>
      </c>
      <c r="D9" s="114">
        <v>-41134237</v>
      </c>
      <c r="E9" s="114">
        <v>-10222121</v>
      </c>
      <c r="F9" s="114">
        <v>-10343401</v>
      </c>
      <c r="G9" s="114">
        <v>-10436705</v>
      </c>
      <c r="H9" s="114">
        <v>-10438324</v>
      </c>
      <c r="I9" s="114">
        <v>-12013349</v>
      </c>
      <c r="J9" s="114">
        <v>-12735038</v>
      </c>
      <c r="K9" s="177">
        <v>-12735038</v>
      </c>
      <c r="L9" s="177">
        <v>-12735038</v>
      </c>
      <c r="M9" s="177">
        <v>-12735038</v>
      </c>
      <c r="N9" s="177">
        <v>-12735038</v>
      </c>
    </row>
    <row r="10" spans="1:14" ht="14.4" customHeight="1" x14ac:dyDescent="0.3">
      <c r="B10" s="111" t="s">
        <v>145</v>
      </c>
      <c r="C10" s="110">
        <v>-9933373</v>
      </c>
      <c r="D10" s="114">
        <v>-10910862</v>
      </c>
      <c r="E10" s="114">
        <v>-4421136</v>
      </c>
      <c r="F10" s="114">
        <v>-4041931</v>
      </c>
      <c r="G10" s="114">
        <v>-1882078</v>
      </c>
      <c r="H10" s="114">
        <v>-1259755</v>
      </c>
      <c r="I10" s="114">
        <v>-8527108</v>
      </c>
      <c r="J10" s="114">
        <v>-1555733</v>
      </c>
      <c r="K10" s="177">
        <v>-1555733</v>
      </c>
      <c r="L10" s="177">
        <v>-1555733</v>
      </c>
      <c r="M10" s="177">
        <v>-1555733</v>
      </c>
      <c r="N10" s="177">
        <v>-1555733</v>
      </c>
    </row>
    <row r="11" spans="1:14" ht="14.4" customHeight="1" x14ac:dyDescent="0.3">
      <c r="B11" s="117" t="s">
        <v>146</v>
      </c>
      <c r="C11" s="110">
        <v>0</v>
      </c>
      <c r="D11" s="114">
        <v>0</v>
      </c>
      <c r="E11" s="114">
        <v>0</v>
      </c>
      <c r="F11" s="114">
        <v>0</v>
      </c>
      <c r="G11" s="114">
        <v>0</v>
      </c>
      <c r="H11" s="114">
        <v>0</v>
      </c>
      <c r="I11" s="114">
        <v>0</v>
      </c>
      <c r="J11" s="114">
        <v>0</v>
      </c>
      <c r="K11" s="158">
        <v>0</v>
      </c>
      <c r="L11" s="158">
        <v>0</v>
      </c>
      <c r="M11" s="158">
        <v>0</v>
      </c>
      <c r="N11" s="158">
        <v>0</v>
      </c>
    </row>
    <row r="12" spans="1:14" ht="14.4" customHeight="1" x14ac:dyDescent="0.3">
      <c r="B12" s="118" t="s">
        <v>147</v>
      </c>
      <c r="C12" s="110">
        <v>0</v>
      </c>
      <c r="D12" s="110">
        <v>0</v>
      </c>
      <c r="E12" s="110">
        <v>0</v>
      </c>
      <c r="F12" s="110">
        <v>0</v>
      </c>
      <c r="G12" s="110">
        <v>0</v>
      </c>
      <c r="H12" s="110">
        <v>0</v>
      </c>
      <c r="I12" s="110">
        <v>0</v>
      </c>
      <c r="J12" s="110">
        <v>0</v>
      </c>
      <c r="K12" s="178">
        <v>0</v>
      </c>
      <c r="L12" s="178">
        <v>0</v>
      </c>
      <c r="M12" s="178">
        <v>0</v>
      </c>
      <c r="N12" s="178">
        <v>0</v>
      </c>
    </row>
    <row r="13" spans="1:14" ht="14.4" customHeight="1" x14ac:dyDescent="0.3">
      <c r="B13" s="104" t="s">
        <v>148</v>
      </c>
      <c r="C13" s="105">
        <f>SUM(C5:C12)</f>
        <v>-211973684</v>
      </c>
      <c r="D13" s="105">
        <f>SUM(D5:D12)</f>
        <v>-230284858</v>
      </c>
      <c r="E13" s="105">
        <f t="shared" ref="E13:M13" si="0">SUM(E5:E12)</f>
        <v>-57867588</v>
      </c>
      <c r="F13" s="105">
        <f t="shared" si="0"/>
        <v>-57012983</v>
      </c>
      <c r="G13" s="105">
        <f t="shared" si="0"/>
        <v>-55873185</v>
      </c>
      <c r="H13" s="105">
        <f t="shared" si="0"/>
        <v>-58264371</v>
      </c>
      <c r="I13" s="105">
        <f t="shared" si="0"/>
        <v>-72107675</v>
      </c>
      <c r="J13" s="105">
        <f t="shared" si="0"/>
        <v>-79798652</v>
      </c>
      <c r="K13" s="105">
        <f t="shared" si="0"/>
        <v>-27626952</v>
      </c>
      <c r="L13" s="105">
        <f t="shared" si="0"/>
        <v>-27626952</v>
      </c>
      <c r="M13" s="105">
        <f t="shared" si="0"/>
        <v>-27626952</v>
      </c>
      <c r="N13" s="105">
        <f t="shared" ref="N13" si="1">SUM(N5:N12)</f>
        <v>-27626952</v>
      </c>
    </row>
    <row r="14" spans="1:14" ht="14.4" customHeight="1" x14ac:dyDescent="0.3">
      <c r="B14" s="119"/>
      <c r="C14" s="110"/>
      <c r="G14" s="120"/>
    </row>
    <row r="15" spans="1:14" ht="14.4" customHeight="1" x14ac:dyDescent="0.3">
      <c r="B15" s="19" t="s">
        <v>149</v>
      </c>
      <c r="C15" s="121">
        <f t="shared" ref="C15:M15" si="2">C2+C13</f>
        <v>201122922</v>
      </c>
      <c r="D15" s="121">
        <f t="shared" si="2"/>
        <v>162944973</v>
      </c>
      <c r="E15" s="121">
        <f t="shared" si="2"/>
        <v>22280064</v>
      </c>
      <c r="F15" s="121">
        <f t="shared" si="2"/>
        <v>36934151</v>
      </c>
      <c r="G15" s="121">
        <f t="shared" si="2"/>
        <v>34729087</v>
      </c>
      <c r="H15" s="121">
        <f t="shared" si="2"/>
        <v>68587390</v>
      </c>
      <c r="I15" s="121">
        <f t="shared" si="2"/>
        <v>98057341</v>
      </c>
      <c r="J15" s="121">
        <f t="shared" si="2"/>
        <v>239053925</v>
      </c>
      <c r="K15" s="121">
        <f t="shared" si="2"/>
        <v>250782048</v>
      </c>
      <c r="L15" s="121">
        <f t="shared" si="2"/>
        <v>227668848</v>
      </c>
      <c r="M15" s="121">
        <f t="shared" si="2"/>
        <v>176609688</v>
      </c>
      <c r="N15" s="121">
        <f t="shared" ref="N15" si="3">N2+N13</f>
        <v>135762360</v>
      </c>
    </row>
    <row r="16" spans="1:14" s="124" customFormat="1" ht="14.4" customHeight="1" x14ac:dyDescent="0.3">
      <c r="A16" s="103"/>
      <c r="B16" s="122"/>
      <c r="C16" s="123"/>
      <c r="D16" s="123"/>
      <c r="E16" s="123"/>
      <c r="F16" s="123"/>
      <c r="G16" s="123"/>
      <c r="H16" s="123"/>
      <c r="I16" s="123"/>
      <c r="J16" s="123"/>
      <c r="K16" s="123"/>
      <c r="L16" s="123"/>
      <c r="M16" s="123"/>
      <c r="N16" s="123"/>
    </row>
    <row r="17" spans="1:14" ht="14.4" customHeight="1" x14ac:dyDescent="0.3">
      <c r="B17" s="19" t="s">
        <v>150</v>
      </c>
      <c r="C17" s="121">
        <f t="shared" ref="C17:M17" si="4">C15-C9</f>
        <v>241505550</v>
      </c>
      <c r="D17" s="121">
        <f t="shared" si="4"/>
        <v>204079210</v>
      </c>
      <c r="E17" s="121">
        <f t="shared" si="4"/>
        <v>32502185</v>
      </c>
      <c r="F17" s="121">
        <f t="shared" si="4"/>
        <v>47277552</v>
      </c>
      <c r="G17" s="121">
        <f t="shared" si="4"/>
        <v>45165792</v>
      </c>
      <c r="H17" s="121">
        <f t="shared" si="4"/>
        <v>79025714</v>
      </c>
      <c r="I17" s="121">
        <f t="shared" si="4"/>
        <v>110070690</v>
      </c>
      <c r="J17" s="121">
        <f t="shared" si="4"/>
        <v>251788963</v>
      </c>
      <c r="K17" s="121">
        <f t="shared" si="4"/>
        <v>263517086</v>
      </c>
      <c r="L17" s="121">
        <f t="shared" si="4"/>
        <v>240403886</v>
      </c>
      <c r="M17" s="121">
        <f t="shared" si="4"/>
        <v>189344726</v>
      </c>
      <c r="N17" s="121">
        <f t="shared" ref="N17" si="5">N15-N9</f>
        <v>148497398</v>
      </c>
    </row>
    <row r="18" spans="1:14" ht="14.4" customHeight="1" x14ac:dyDescent="0.3">
      <c r="B18" s="19" t="s">
        <v>151</v>
      </c>
      <c r="C18" s="121">
        <f t="shared" ref="C18:M18" si="6">C17-C11-C12</f>
        <v>241505550</v>
      </c>
      <c r="D18" s="121">
        <f t="shared" si="6"/>
        <v>204079210</v>
      </c>
      <c r="E18" s="121">
        <f t="shared" si="6"/>
        <v>32502185</v>
      </c>
      <c r="F18" s="121">
        <f t="shared" si="6"/>
        <v>47277552</v>
      </c>
      <c r="G18" s="121">
        <f t="shared" si="6"/>
        <v>45165792</v>
      </c>
      <c r="H18" s="121">
        <f t="shared" si="6"/>
        <v>79025714</v>
      </c>
      <c r="I18" s="121">
        <f t="shared" si="6"/>
        <v>110070690</v>
      </c>
      <c r="J18" s="121">
        <f t="shared" si="6"/>
        <v>251788963</v>
      </c>
      <c r="K18" s="121">
        <f>K17-K11-K12</f>
        <v>263517086</v>
      </c>
      <c r="L18" s="121">
        <f t="shared" si="6"/>
        <v>240403886</v>
      </c>
      <c r="M18" s="121">
        <f t="shared" si="6"/>
        <v>189344726</v>
      </c>
      <c r="N18" s="121">
        <f t="shared" ref="N18" si="7">N17-N11-N12</f>
        <v>148497398</v>
      </c>
    </row>
    <row r="19" spans="1:14" ht="14.4" customHeight="1" x14ac:dyDescent="0.3">
      <c r="B19"/>
      <c r="C19" s="110"/>
      <c r="G19" s="120"/>
    </row>
    <row r="20" spans="1:14" s="124" customFormat="1" ht="14.4" customHeight="1" x14ac:dyDescent="0.3">
      <c r="A20" s="103"/>
      <c r="B20" s="125" t="s">
        <v>152</v>
      </c>
      <c r="C20" s="110"/>
      <c r="G20" s="114"/>
    </row>
    <row r="21" spans="1:14" s="124" customFormat="1" ht="14.4" customHeight="1" x14ac:dyDescent="0.3">
      <c r="A21" s="103"/>
      <c r="B21" s="126" t="s">
        <v>153</v>
      </c>
      <c r="C21" s="110">
        <v>4104564</v>
      </c>
      <c r="D21" s="124">
        <v>3445203</v>
      </c>
      <c r="E21" s="114">
        <v>408133</v>
      </c>
      <c r="F21" s="114">
        <v>407470</v>
      </c>
      <c r="G21" s="114">
        <v>563460</v>
      </c>
      <c r="H21" s="114">
        <v>812677</v>
      </c>
      <c r="I21" s="114">
        <v>1051202</v>
      </c>
      <c r="J21" s="114">
        <v>1379880</v>
      </c>
      <c r="K21" s="158">
        <v>1000000</v>
      </c>
      <c r="L21" s="158">
        <v>1000000</v>
      </c>
      <c r="M21" s="158">
        <v>1000000</v>
      </c>
      <c r="N21" s="158">
        <v>1000000</v>
      </c>
    </row>
    <row r="22" spans="1:14" ht="14.4" customHeight="1" x14ac:dyDescent="0.3">
      <c r="B22" s="111" t="s">
        <v>154</v>
      </c>
      <c r="C22" s="110">
        <v>-61179066</v>
      </c>
      <c r="D22" s="110">
        <v>-57052680</v>
      </c>
      <c r="E22" s="110">
        <v>-11405292</v>
      </c>
      <c r="F22" s="110">
        <v>-11632771</v>
      </c>
      <c r="G22" s="110">
        <v>-11008312</v>
      </c>
      <c r="H22" s="110">
        <v>-10194138</v>
      </c>
      <c r="I22" s="110">
        <v>-10330556</v>
      </c>
      <c r="J22" s="110">
        <v>-9935491</v>
      </c>
      <c r="K22" s="176">
        <v>-9935491</v>
      </c>
      <c r="L22" s="176">
        <v>-9935491</v>
      </c>
      <c r="M22" s="176">
        <v>-9935491</v>
      </c>
      <c r="N22" s="176">
        <v>-9935491</v>
      </c>
    </row>
    <row r="23" spans="1:14" ht="14.4" customHeight="1" x14ac:dyDescent="0.3">
      <c r="B23" s="111" t="s">
        <v>155</v>
      </c>
      <c r="C23" s="110">
        <v>229373</v>
      </c>
      <c r="D23" s="124">
        <v>-291873</v>
      </c>
      <c r="E23" s="114">
        <v>1114601</v>
      </c>
      <c r="F23" s="114">
        <v>1351339</v>
      </c>
      <c r="G23" s="114">
        <v>-372070</v>
      </c>
      <c r="H23" s="114">
        <v>-440406</v>
      </c>
      <c r="I23" s="114">
        <v>-627457</v>
      </c>
      <c r="J23" s="114">
        <v>905854</v>
      </c>
      <c r="K23" s="158">
        <v>0</v>
      </c>
      <c r="L23" s="158">
        <v>0</v>
      </c>
      <c r="M23" s="158">
        <v>0</v>
      </c>
      <c r="N23" s="158">
        <v>0</v>
      </c>
    </row>
    <row r="24" spans="1:14" ht="14.4" customHeight="1" x14ac:dyDescent="0.3">
      <c r="B24" s="111" t="s">
        <v>156</v>
      </c>
      <c r="C24" s="110">
        <v>300262</v>
      </c>
      <c r="D24" s="124">
        <v>-1264750</v>
      </c>
      <c r="E24" s="114">
        <v>-92329</v>
      </c>
      <c r="F24" s="114">
        <v>489497</v>
      </c>
      <c r="G24" s="114">
        <v>207772</v>
      </c>
      <c r="H24" s="114">
        <v>722457</v>
      </c>
      <c r="I24" s="114">
        <v>345830</v>
      </c>
      <c r="J24" s="114">
        <v>319460</v>
      </c>
      <c r="K24" s="158">
        <v>0</v>
      </c>
      <c r="L24" s="158">
        <v>0</v>
      </c>
      <c r="M24" s="158">
        <v>0</v>
      </c>
      <c r="N24" s="158">
        <v>0</v>
      </c>
    </row>
    <row r="25" spans="1:14" ht="14.4" customHeight="1" x14ac:dyDescent="0.3">
      <c r="B25" s="111" t="s">
        <v>157</v>
      </c>
      <c r="C25" s="110"/>
      <c r="D25" s="124"/>
      <c r="E25" s="114"/>
      <c r="F25" s="114">
        <v>-1125951</v>
      </c>
      <c r="G25" s="114">
        <v>-257817</v>
      </c>
      <c r="H25" s="114">
        <v>0</v>
      </c>
      <c r="I25" s="114">
        <v>0</v>
      </c>
      <c r="J25" s="114">
        <v>-1363059</v>
      </c>
      <c r="K25" s="158">
        <v>0</v>
      </c>
      <c r="L25" s="158">
        <v>0</v>
      </c>
      <c r="M25" s="158">
        <v>0</v>
      </c>
      <c r="N25" s="158">
        <v>0</v>
      </c>
    </row>
    <row r="26" spans="1:14" ht="14.4" customHeight="1" x14ac:dyDescent="0.3">
      <c r="B26" s="111" t="s">
        <v>158</v>
      </c>
      <c r="C26" s="110"/>
      <c r="D26" s="110">
        <v>1828959</v>
      </c>
      <c r="E26" s="114">
        <v>0</v>
      </c>
      <c r="F26" s="114">
        <v>0</v>
      </c>
      <c r="G26" s="114">
        <v>0</v>
      </c>
      <c r="H26" s="114">
        <v>0</v>
      </c>
      <c r="I26" s="114">
        <v>0</v>
      </c>
      <c r="J26" s="114">
        <v>0</v>
      </c>
      <c r="K26" s="158">
        <v>0</v>
      </c>
      <c r="L26" s="158">
        <v>0</v>
      </c>
      <c r="M26" s="158">
        <v>0</v>
      </c>
      <c r="N26" s="158">
        <v>0</v>
      </c>
    </row>
    <row r="27" spans="1:14" ht="14.4" customHeight="1" x14ac:dyDescent="0.3">
      <c r="B27" s="127" t="s">
        <v>159</v>
      </c>
      <c r="C27" s="110">
        <v>672969</v>
      </c>
      <c r="D27" s="110">
        <v>-746562</v>
      </c>
      <c r="E27" s="110">
        <v>250756</v>
      </c>
      <c r="F27" s="110">
        <v>463174</v>
      </c>
      <c r="G27" s="110">
        <v>188453</v>
      </c>
      <c r="H27" s="110">
        <v>-29852</v>
      </c>
      <c r="I27" s="110">
        <v>-178657</v>
      </c>
      <c r="J27" s="110">
        <v>-49321</v>
      </c>
      <c r="K27" s="178">
        <v>0</v>
      </c>
      <c r="L27" s="178">
        <v>0</v>
      </c>
      <c r="M27" s="178">
        <v>0</v>
      </c>
      <c r="N27" s="178">
        <v>0</v>
      </c>
    </row>
    <row r="28" spans="1:14" s="110" customFormat="1" ht="14.4" customHeight="1" x14ac:dyDescent="0.3">
      <c r="A28" s="128"/>
      <c r="B28" s="19" t="s">
        <v>160</v>
      </c>
      <c r="C28" s="121">
        <f>SUM(C21:C27)</f>
        <v>-55871898</v>
      </c>
      <c r="D28" s="121">
        <f>SUM(D21:D27)</f>
        <v>-54081703</v>
      </c>
      <c r="E28" s="121">
        <f t="shared" ref="E28:M28" si="8">SUM(E21:E27)</f>
        <v>-9724131</v>
      </c>
      <c r="F28" s="121">
        <f t="shared" si="8"/>
        <v>-10047242</v>
      </c>
      <c r="G28" s="121">
        <f t="shared" si="8"/>
        <v>-10678514</v>
      </c>
      <c r="H28" s="121">
        <f t="shared" si="8"/>
        <v>-9129262</v>
      </c>
      <c r="I28" s="121">
        <f t="shared" si="8"/>
        <v>-9739638</v>
      </c>
      <c r="J28" s="121">
        <f t="shared" si="8"/>
        <v>-8742677</v>
      </c>
      <c r="K28" s="121">
        <f t="shared" si="8"/>
        <v>-8935491</v>
      </c>
      <c r="L28" s="121">
        <f t="shared" si="8"/>
        <v>-8935491</v>
      </c>
      <c r="M28" s="121">
        <f t="shared" si="8"/>
        <v>-8935491</v>
      </c>
      <c r="N28" s="121">
        <f t="shared" ref="N28" si="9">SUM(N21:N27)</f>
        <v>-8935491</v>
      </c>
    </row>
    <row r="29" spans="1:14" s="129" customFormat="1" ht="14.4" customHeight="1" x14ac:dyDescent="0.3">
      <c r="A29" s="103"/>
      <c r="B29"/>
      <c r="C29" s="72"/>
      <c r="D29" s="120"/>
      <c r="E29" s="107"/>
      <c r="F29" s="107"/>
      <c r="G29" s="120"/>
      <c r="H29" s="107"/>
      <c r="I29" s="107"/>
      <c r="J29" s="107"/>
      <c r="K29" s="107"/>
      <c r="L29" s="107"/>
      <c r="M29" s="107"/>
      <c r="N29" s="107"/>
    </row>
    <row r="30" spans="1:14" s="110" customFormat="1" ht="14.4" customHeight="1" x14ac:dyDescent="0.3">
      <c r="A30" s="128"/>
      <c r="B30" s="19" t="s">
        <v>161</v>
      </c>
      <c r="C30" s="121">
        <f>C15+C28</f>
        <v>145251024</v>
      </c>
      <c r="D30" s="121">
        <f>D15+D28</f>
        <v>108863270</v>
      </c>
      <c r="E30" s="121">
        <f t="shared" ref="E30:M30" si="10">E15+E28</f>
        <v>12555933</v>
      </c>
      <c r="F30" s="121">
        <f t="shared" si="10"/>
        <v>26886909</v>
      </c>
      <c r="G30" s="121">
        <f t="shared" si="10"/>
        <v>24050573</v>
      </c>
      <c r="H30" s="121">
        <f t="shared" si="10"/>
        <v>59458128</v>
      </c>
      <c r="I30" s="121">
        <f t="shared" si="10"/>
        <v>88317703</v>
      </c>
      <c r="J30" s="121">
        <f t="shared" si="10"/>
        <v>230311248</v>
      </c>
      <c r="K30" s="121">
        <f t="shared" si="10"/>
        <v>241846557</v>
      </c>
      <c r="L30" s="121">
        <f t="shared" si="10"/>
        <v>218733357</v>
      </c>
      <c r="M30" s="121">
        <f t="shared" si="10"/>
        <v>167674197</v>
      </c>
      <c r="N30" s="121">
        <f t="shared" ref="N30" si="11">N15+N28</f>
        <v>126826869</v>
      </c>
    </row>
    <row r="31" spans="1:14" s="129" customFormat="1" ht="14.4" customHeight="1" x14ac:dyDescent="0.3">
      <c r="A31" s="103"/>
      <c r="B31" s="130"/>
      <c r="C31" s="72"/>
      <c r="D31" s="114"/>
      <c r="E31" s="124"/>
      <c r="F31" s="124"/>
      <c r="G31" s="124"/>
      <c r="H31" s="124"/>
      <c r="I31" s="124"/>
      <c r="J31" s="124"/>
      <c r="K31" s="124"/>
      <c r="L31" s="124"/>
      <c r="M31" s="124"/>
      <c r="N31" s="124"/>
    </row>
    <row r="32" spans="1:14" s="129" customFormat="1" ht="14.4" customHeight="1" x14ac:dyDescent="0.3">
      <c r="A32" s="103"/>
      <c r="B32" s="130" t="s">
        <v>162</v>
      </c>
      <c r="C32" s="110"/>
      <c r="D32" s="110"/>
      <c r="E32" s="110"/>
      <c r="F32" s="110"/>
      <c r="G32" s="110"/>
      <c r="H32" s="110"/>
      <c r="I32" s="110"/>
      <c r="J32" s="113"/>
      <c r="K32" s="113"/>
      <c r="L32" s="113"/>
      <c r="M32" s="113"/>
      <c r="N32" s="113"/>
    </row>
    <row r="33" spans="1:14" s="129" customFormat="1" ht="14.4" customHeight="1" x14ac:dyDescent="0.3">
      <c r="A33" s="103"/>
      <c r="B33" s="17" t="s">
        <v>163</v>
      </c>
      <c r="C33" s="110">
        <v>0</v>
      </c>
      <c r="D33" s="110">
        <v>0</v>
      </c>
      <c r="E33" s="110">
        <v>0</v>
      </c>
      <c r="F33" s="110">
        <v>0</v>
      </c>
      <c r="G33" s="110">
        <v>0</v>
      </c>
      <c r="H33" s="110">
        <v>0</v>
      </c>
      <c r="I33" s="110">
        <v>0</v>
      </c>
      <c r="J33" s="110">
        <v>0</v>
      </c>
      <c r="K33" s="113">
        <v>0</v>
      </c>
      <c r="L33" s="113">
        <v>0</v>
      </c>
      <c r="M33" s="113">
        <v>0</v>
      </c>
      <c r="N33" s="113">
        <v>0</v>
      </c>
    </row>
    <row r="34" spans="1:14" s="129" customFormat="1" ht="14.4" customHeight="1" x14ac:dyDescent="0.3">
      <c r="A34" s="103"/>
      <c r="B34" s="17" t="s">
        <v>164</v>
      </c>
      <c r="C34" s="110">
        <v>-1302</v>
      </c>
      <c r="D34" s="110">
        <v>-6005</v>
      </c>
      <c r="E34" s="110">
        <v>0</v>
      </c>
      <c r="F34" s="110">
        <v>0</v>
      </c>
      <c r="G34" s="110">
        <v>0</v>
      </c>
      <c r="H34" s="110">
        <v>0</v>
      </c>
      <c r="I34" s="110">
        <v>0</v>
      </c>
      <c r="J34" s="110">
        <v>0</v>
      </c>
      <c r="K34" s="113">
        <v>0</v>
      </c>
      <c r="L34" s="113">
        <v>0</v>
      </c>
      <c r="M34" s="113">
        <v>0</v>
      </c>
      <c r="N34" s="113">
        <v>0</v>
      </c>
    </row>
    <row r="35" spans="1:14" s="129" customFormat="1" ht="14.4" customHeight="1" x14ac:dyDescent="0.3">
      <c r="A35" s="103"/>
      <c r="B35" s="19" t="s">
        <v>165</v>
      </c>
      <c r="C35" s="121">
        <f>C30+C34</f>
        <v>145249722</v>
      </c>
      <c r="D35" s="121">
        <f t="shared" ref="D35:M35" si="12">D30+D34</f>
        <v>108857265</v>
      </c>
      <c r="E35" s="121">
        <f t="shared" si="12"/>
        <v>12555933</v>
      </c>
      <c r="F35" s="121">
        <f t="shared" si="12"/>
        <v>26886909</v>
      </c>
      <c r="G35" s="121">
        <f t="shared" si="12"/>
        <v>24050573</v>
      </c>
      <c r="H35" s="121">
        <f t="shared" si="12"/>
        <v>59458128</v>
      </c>
      <c r="I35" s="121">
        <f t="shared" si="12"/>
        <v>88317703</v>
      </c>
      <c r="J35" s="121">
        <f t="shared" si="12"/>
        <v>230311248</v>
      </c>
      <c r="K35" s="121">
        <f t="shared" si="12"/>
        <v>241846557</v>
      </c>
      <c r="L35" s="121">
        <f t="shared" si="12"/>
        <v>218733357</v>
      </c>
      <c r="M35" s="121">
        <f t="shared" si="12"/>
        <v>167674197</v>
      </c>
      <c r="N35" s="121">
        <f t="shared" ref="N35" si="13">N30+N34</f>
        <v>126826869</v>
      </c>
    </row>
    <row r="36" spans="1:14" s="129" customFormat="1" ht="14.4" customHeight="1" x14ac:dyDescent="0.3">
      <c r="A36" s="103"/>
      <c r="B36" s="17"/>
      <c r="C36" s="72"/>
      <c r="D36" s="114"/>
      <c r="E36" s="124"/>
      <c r="F36" s="124"/>
      <c r="G36" s="124"/>
      <c r="H36" s="124"/>
      <c r="I36" s="124"/>
      <c r="J36" s="124"/>
      <c r="K36" s="124"/>
      <c r="L36" s="124"/>
      <c r="M36" s="124"/>
      <c r="N36" s="124"/>
    </row>
    <row r="37" spans="1:14" s="129" customFormat="1" ht="14.4" customHeight="1" x14ac:dyDescent="0.3">
      <c r="A37" s="103"/>
      <c r="B37" s="1"/>
      <c r="C37" s="131"/>
      <c r="D37" s="120"/>
      <c r="E37" s="107"/>
      <c r="F37" s="107"/>
      <c r="G37" s="107"/>
      <c r="H37" s="107"/>
      <c r="I37" s="107"/>
      <c r="J37" s="107"/>
      <c r="K37" s="107"/>
      <c r="L37" s="107"/>
      <c r="M37" s="107"/>
      <c r="N37" s="107"/>
    </row>
    <row r="38" spans="1:14" s="110" customFormat="1" ht="14.4" customHeight="1" x14ac:dyDescent="0.3">
      <c r="A38" s="128"/>
      <c r="B38" s="19" t="s">
        <v>166</v>
      </c>
      <c r="C38" s="132">
        <f>C35/C41</f>
        <v>4.5116864862353072</v>
      </c>
      <c r="D38" s="132">
        <f t="shared" ref="D38:M38" si="14">D35/D41</f>
        <v>3.3812791147995154</v>
      </c>
      <c r="E38" s="132">
        <f t="shared" si="14"/>
        <v>0.39000717149858599</v>
      </c>
      <c r="F38" s="132">
        <f t="shared" si="14"/>
        <v>0.83514999079955876</v>
      </c>
      <c r="G38" s="132">
        <f t="shared" si="14"/>
        <v>0.74704890099766086</v>
      </c>
      <c r="H38" s="132">
        <f t="shared" si="14"/>
        <v>1.7639073611542262</v>
      </c>
      <c r="I38" s="132">
        <f t="shared" si="14"/>
        <v>2.3142876204482166</v>
      </c>
      <c r="J38" s="132">
        <f t="shared" si="14"/>
        <v>5.8986626466541967</v>
      </c>
      <c r="K38" s="132">
        <f t="shared" si="14"/>
        <v>6.1941015229869496</v>
      </c>
      <c r="L38" s="132">
        <f t="shared" si="14"/>
        <v>5.6021331729016426</v>
      </c>
      <c r="M38" s="132">
        <f t="shared" si="14"/>
        <v>4.2944212722586483</v>
      </c>
      <c r="N38" s="132">
        <f t="shared" ref="N38" si="15">N35/N41</f>
        <v>3.2482517517442528</v>
      </c>
    </row>
    <row r="39" spans="1:14" s="110" customFormat="1" ht="14.4" customHeight="1" x14ac:dyDescent="0.3">
      <c r="A39" s="128"/>
      <c r="B39" s="19" t="s">
        <v>167</v>
      </c>
      <c r="C39" s="132">
        <f>C35/C43</f>
        <v>4.5116864862353072</v>
      </c>
      <c r="D39" s="132">
        <f t="shared" ref="D39:M39" si="16">D35/D43</f>
        <v>3.3812791147995154</v>
      </c>
      <c r="E39" s="132">
        <f t="shared" si="16"/>
        <v>0.39000717149858599</v>
      </c>
      <c r="F39" s="132">
        <f t="shared" si="16"/>
        <v>0.83514999079955876</v>
      </c>
      <c r="G39" s="132">
        <f t="shared" si="16"/>
        <v>0.74704890099766086</v>
      </c>
      <c r="H39" s="132">
        <f t="shared" si="16"/>
        <v>1.7639073611542262</v>
      </c>
      <c r="I39" s="132">
        <f t="shared" si="16"/>
        <v>2.3142876204482166</v>
      </c>
      <c r="J39" s="132">
        <f t="shared" si="16"/>
        <v>5.8986626466541967</v>
      </c>
      <c r="K39" s="132">
        <f t="shared" si="16"/>
        <v>6.1941015229869496</v>
      </c>
      <c r="L39" s="132">
        <f t="shared" si="16"/>
        <v>5.6021331729016426</v>
      </c>
      <c r="M39" s="132">
        <f t="shared" si="16"/>
        <v>4.2944212722586483</v>
      </c>
      <c r="N39" s="132">
        <f t="shared" ref="N39" si="17">N35/N43</f>
        <v>3.2482517517442528</v>
      </c>
    </row>
    <row r="40" spans="1:14" s="129" customFormat="1" ht="14.4" customHeight="1" x14ac:dyDescent="0.3">
      <c r="A40" s="103"/>
      <c r="B40"/>
      <c r="C40" s="110"/>
      <c r="D40" s="120"/>
      <c r="E40" s="107"/>
      <c r="F40" s="107"/>
      <c r="G40" s="107"/>
      <c r="H40" s="107"/>
      <c r="I40" s="107"/>
      <c r="J40" s="107"/>
      <c r="K40" s="107"/>
      <c r="L40" s="107"/>
      <c r="M40" s="107"/>
      <c r="N40" s="107"/>
    </row>
    <row r="41" spans="1:14" s="129" customFormat="1" ht="14.4" customHeight="1" x14ac:dyDescent="0.3">
      <c r="A41" s="103"/>
      <c r="B41" t="s">
        <v>168</v>
      </c>
      <c r="C41" s="110">
        <v>32194108</v>
      </c>
      <c r="D41" s="110">
        <v>32194108</v>
      </c>
      <c r="E41" s="110">
        <v>32194108</v>
      </c>
      <c r="F41" s="110">
        <v>32194108</v>
      </c>
      <c r="G41" s="110">
        <v>32194108</v>
      </c>
      <c r="H41" s="110">
        <v>33708192</v>
      </c>
      <c r="I41" s="110">
        <v>38161939</v>
      </c>
      <c r="J41" s="110">
        <v>39044655</v>
      </c>
      <c r="K41" s="176">
        <v>39044655</v>
      </c>
      <c r="L41" s="176">
        <v>39044655</v>
      </c>
      <c r="M41" s="176">
        <v>39044655</v>
      </c>
      <c r="N41" s="176">
        <v>39044655</v>
      </c>
    </row>
    <row r="42" spans="1:14" s="129" customFormat="1" ht="14.4" customHeight="1" x14ac:dyDescent="0.3">
      <c r="A42" s="103"/>
      <c r="B42"/>
      <c r="C42" s="110"/>
      <c r="D42" s="133"/>
      <c r="E42" s="134"/>
      <c r="F42" s="134">
        <f t="shared" ref="F42:N42" si="18">F41/E41-1</f>
        <v>0</v>
      </c>
      <c r="G42" s="134">
        <f t="shared" si="18"/>
        <v>0</v>
      </c>
      <c r="H42" s="134">
        <f t="shared" si="18"/>
        <v>4.7029847821843607E-2</v>
      </c>
      <c r="I42" s="134">
        <f t="shared" si="18"/>
        <v>0.13212654656767109</v>
      </c>
      <c r="J42" s="134">
        <f t="shared" si="18"/>
        <v>2.3130795319388886E-2</v>
      </c>
      <c r="K42" s="133">
        <f t="shared" si="18"/>
        <v>0</v>
      </c>
      <c r="L42" s="133">
        <f t="shared" si="18"/>
        <v>0</v>
      </c>
      <c r="M42" s="133">
        <f t="shared" si="18"/>
        <v>0</v>
      </c>
      <c r="N42" s="133">
        <f t="shared" si="18"/>
        <v>0</v>
      </c>
    </row>
    <row r="43" spans="1:14" s="129" customFormat="1" ht="14.4" customHeight="1" x14ac:dyDescent="0.3">
      <c r="A43" s="103"/>
      <c r="B43" t="s">
        <v>169</v>
      </c>
      <c r="C43" s="110">
        <v>32194108</v>
      </c>
      <c r="D43" s="110">
        <v>32194108</v>
      </c>
      <c r="E43" s="110">
        <v>32194108</v>
      </c>
      <c r="F43" s="110">
        <v>32194108</v>
      </c>
      <c r="G43" s="110">
        <v>32194108</v>
      </c>
      <c r="H43" s="110">
        <v>33708192</v>
      </c>
      <c r="I43" s="110">
        <v>38161939</v>
      </c>
      <c r="J43" s="110">
        <v>39044655</v>
      </c>
      <c r="K43" s="176">
        <v>39044655</v>
      </c>
      <c r="L43" s="176">
        <v>39044655</v>
      </c>
      <c r="M43" s="176">
        <v>39044655</v>
      </c>
      <c r="N43" s="176">
        <v>39044655</v>
      </c>
    </row>
    <row r="44" spans="1:14" s="129" customFormat="1" ht="14.4" customHeight="1" x14ac:dyDescent="0.3">
      <c r="A44" s="103"/>
      <c r="B44"/>
      <c r="C44" s="110"/>
      <c r="D44" s="133"/>
      <c r="E44" s="134"/>
      <c r="F44" s="134">
        <f t="shared" ref="F44:N44" si="19">F43/E43-1</f>
        <v>0</v>
      </c>
      <c r="G44" s="133">
        <f t="shared" si="19"/>
        <v>0</v>
      </c>
      <c r="H44" s="133">
        <f t="shared" si="19"/>
        <v>4.7029847821843607E-2</v>
      </c>
      <c r="I44" s="133">
        <f t="shared" si="19"/>
        <v>0.13212654656767109</v>
      </c>
      <c r="J44" s="134">
        <f t="shared" si="19"/>
        <v>2.3130795319388886E-2</v>
      </c>
      <c r="K44" s="133">
        <f t="shared" si="19"/>
        <v>0</v>
      </c>
      <c r="L44" s="133">
        <f t="shared" si="19"/>
        <v>0</v>
      </c>
      <c r="M44" s="133">
        <f t="shared" si="19"/>
        <v>0</v>
      </c>
      <c r="N44" s="133">
        <f t="shared" si="19"/>
        <v>0</v>
      </c>
    </row>
    <row r="45" spans="1:14" s="129" customFormat="1" ht="14.4" customHeight="1" x14ac:dyDescent="0.3">
      <c r="A45" s="103"/>
      <c r="B45"/>
      <c r="C45" s="110"/>
      <c r="D45" s="133"/>
      <c r="E45" s="135"/>
      <c r="F45" s="135"/>
      <c r="G45" s="135"/>
      <c r="H45" s="135"/>
      <c r="I45" s="135"/>
      <c r="J45" s="135"/>
      <c r="K45" s="135"/>
      <c r="L45" s="135"/>
      <c r="M45" s="135"/>
      <c r="N45" s="135"/>
    </row>
    <row r="46" spans="1:14" s="129" customFormat="1" ht="14.4" customHeight="1" x14ac:dyDescent="0.3">
      <c r="A46" s="103"/>
      <c r="B46"/>
      <c r="C46" s="110"/>
      <c r="D46" s="133"/>
      <c r="E46" s="135"/>
      <c r="F46" s="135"/>
      <c r="G46" s="135"/>
      <c r="H46" s="135"/>
      <c r="I46" s="135"/>
      <c r="J46" s="135"/>
      <c r="K46" s="135"/>
      <c r="L46" s="135"/>
      <c r="M46" s="135"/>
      <c r="N46" s="135"/>
    </row>
    <row r="47" spans="1:14" s="110" customFormat="1" ht="14.4" customHeight="1" x14ac:dyDescent="0.3">
      <c r="A47" s="128"/>
      <c r="B47" s="19" t="s">
        <v>170</v>
      </c>
      <c r="C47" s="121">
        <f t="shared" ref="C47:N47" si="20">C15-C11-C12+-C23-C24-C25-C26-C27+C34+C21+C22</f>
        <v>142844514</v>
      </c>
      <c r="D47" s="121">
        <f t="shared" si="20"/>
        <v>109805717</v>
      </c>
      <c r="E47" s="121">
        <f t="shared" si="20"/>
        <v>10009877</v>
      </c>
      <c r="F47" s="121">
        <f t="shared" si="20"/>
        <v>24530791</v>
      </c>
      <c r="G47" s="121">
        <f t="shared" si="20"/>
        <v>24517897</v>
      </c>
      <c r="H47" s="121">
        <f t="shared" si="20"/>
        <v>58953730</v>
      </c>
      <c r="I47" s="121">
        <f t="shared" si="20"/>
        <v>89238271</v>
      </c>
      <c r="J47" s="121">
        <f t="shared" si="20"/>
        <v>230685380</v>
      </c>
      <c r="K47" s="121">
        <f t="shared" si="20"/>
        <v>241846557</v>
      </c>
      <c r="L47" s="121">
        <f t="shared" si="20"/>
        <v>218733357</v>
      </c>
      <c r="M47" s="121">
        <f t="shared" si="20"/>
        <v>167674197</v>
      </c>
      <c r="N47" s="121">
        <f t="shared" si="20"/>
        <v>126826869</v>
      </c>
    </row>
    <row r="48" spans="1:14" s="110" customFormat="1" ht="14.4" customHeight="1" x14ac:dyDescent="0.3">
      <c r="A48" s="128"/>
      <c r="B48" s="19" t="s">
        <v>125</v>
      </c>
      <c r="C48" s="132">
        <f>C47/C43</f>
        <v>4.4369769151547853</v>
      </c>
      <c r="D48" s="132">
        <f t="shared" ref="D48:M48" si="21">D47/D43</f>
        <v>3.4107395365636468</v>
      </c>
      <c r="E48" s="132">
        <f t="shared" si="21"/>
        <v>0.31092263839085088</v>
      </c>
      <c r="F48" s="132">
        <f t="shared" si="21"/>
        <v>0.76196523289292561</v>
      </c>
      <c r="G48" s="132">
        <f t="shared" si="21"/>
        <v>0.76156472482480331</v>
      </c>
      <c r="H48" s="132">
        <f t="shared" si="21"/>
        <v>1.748943698908562</v>
      </c>
      <c r="I48" s="132">
        <f t="shared" si="21"/>
        <v>2.3384102940890923</v>
      </c>
      <c r="J48" s="132">
        <f t="shared" si="21"/>
        <v>5.9082448032899766</v>
      </c>
      <c r="K48" s="132">
        <f t="shared" si="21"/>
        <v>6.1941015229869496</v>
      </c>
      <c r="L48" s="132">
        <f t="shared" si="21"/>
        <v>5.6021331729016426</v>
      </c>
      <c r="M48" s="132">
        <f t="shared" si="21"/>
        <v>4.2944212722586483</v>
      </c>
      <c r="N48" s="132">
        <f t="shared" ref="N48" si="22">N47/N43</f>
        <v>3.2482517517442528</v>
      </c>
    </row>
    <row r="49" spans="1:14" s="129" customFormat="1" ht="14.4" customHeight="1" x14ac:dyDescent="0.3">
      <c r="A49" s="103"/>
      <c r="B49"/>
      <c r="C49" s="110"/>
      <c r="D49" s="133"/>
      <c r="E49" s="135"/>
      <c r="F49" s="135"/>
      <c r="G49" s="135"/>
      <c r="H49" s="135"/>
      <c r="I49" s="135"/>
      <c r="J49" s="135"/>
      <c r="K49" s="135"/>
      <c r="L49" s="135"/>
      <c r="M49" s="135"/>
      <c r="N49" s="135"/>
    </row>
    <row r="50" spans="1:14" ht="14.4" customHeight="1" x14ac:dyDescent="0.3">
      <c r="B50" s="110"/>
      <c r="C50" s="110"/>
    </row>
    <row r="51" spans="1:14" ht="14.4" customHeight="1" x14ac:dyDescent="0.3">
      <c r="A51" s="103" t="s">
        <v>171</v>
      </c>
      <c r="B51" s="136" t="s">
        <v>172</v>
      </c>
      <c r="C51" s="137"/>
      <c r="D51" s="137"/>
      <c r="E51" s="137"/>
      <c r="F51" s="137"/>
      <c r="G51" s="137"/>
      <c r="H51" s="137"/>
      <c r="I51" s="137"/>
      <c r="J51" s="137"/>
      <c r="K51" s="137"/>
      <c r="L51" s="137"/>
      <c r="M51" s="137"/>
      <c r="N51" s="137"/>
    </row>
    <row r="52" spans="1:14" ht="14.4" customHeight="1" x14ac:dyDescent="0.3">
      <c r="B52" t="s">
        <v>64</v>
      </c>
      <c r="E52" s="138"/>
      <c r="F52" s="138"/>
      <c r="G52" s="138"/>
      <c r="H52" s="138"/>
      <c r="I52" s="30" t="s">
        <v>65</v>
      </c>
      <c r="J52" s="182"/>
      <c r="K52" s="139">
        <v>90</v>
      </c>
      <c r="L52" s="139">
        <v>90</v>
      </c>
      <c r="M52" s="139">
        <v>90</v>
      </c>
      <c r="N52" s="139">
        <v>90</v>
      </c>
    </row>
    <row r="53" spans="1:14" ht="14.4" customHeight="1" x14ac:dyDescent="0.3">
      <c r="B53" t="s">
        <v>68</v>
      </c>
      <c r="E53" s="138"/>
      <c r="F53" s="138"/>
      <c r="G53" s="138"/>
      <c r="H53" s="138"/>
      <c r="I53" s="30" t="s">
        <v>65</v>
      </c>
      <c r="J53" s="182"/>
      <c r="K53" s="139">
        <v>90</v>
      </c>
      <c r="L53" s="139">
        <v>90</v>
      </c>
      <c r="M53" s="139">
        <v>90</v>
      </c>
      <c r="N53" s="139">
        <v>90</v>
      </c>
    </row>
    <row r="54" spans="1:14" ht="14.4" customHeight="1" x14ac:dyDescent="0.3">
      <c r="B54" t="s">
        <v>69</v>
      </c>
      <c r="E54" s="138"/>
      <c r="F54" s="138"/>
      <c r="G54" s="138"/>
      <c r="H54" s="138"/>
      <c r="I54" s="30" t="s">
        <v>65</v>
      </c>
      <c r="J54" s="182"/>
      <c r="K54" s="139">
        <v>90</v>
      </c>
      <c r="L54" s="139">
        <v>90</v>
      </c>
      <c r="M54" s="139">
        <v>90</v>
      </c>
      <c r="N54" s="139">
        <v>90</v>
      </c>
    </row>
    <row r="55" spans="1:14" ht="14.4" customHeight="1" x14ac:dyDescent="0.3">
      <c r="B55" t="s">
        <v>78</v>
      </c>
      <c r="E55" s="138"/>
      <c r="F55" s="138"/>
      <c r="G55" s="138"/>
      <c r="H55" s="138"/>
      <c r="I55" s="30" t="s">
        <v>65</v>
      </c>
      <c r="J55" s="182"/>
      <c r="K55" s="139">
        <v>90</v>
      </c>
      <c r="L55" s="139">
        <v>90</v>
      </c>
      <c r="M55" s="139">
        <v>90</v>
      </c>
      <c r="N55" s="139">
        <v>90</v>
      </c>
    </row>
    <row r="56" spans="1:14" ht="14.4" customHeight="1" x14ac:dyDescent="0.3">
      <c r="B56" t="s">
        <v>80</v>
      </c>
      <c r="E56" s="138"/>
      <c r="F56" s="138"/>
      <c r="G56" s="138"/>
      <c r="H56" s="138"/>
      <c r="I56" s="30" t="s">
        <v>65</v>
      </c>
      <c r="J56" s="182"/>
      <c r="K56" s="139">
        <v>90</v>
      </c>
      <c r="L56" s="139">
        <v>90</v>
      </c>
      <c r="M56" s="139">
        <v>90</v>
      </c>
      <c r="N56" s="139">
        <v>90</v>
      </c>
    </row>
    <row r="57" spans="1:14" ht="14.4" customHeight="1" x14ac:dyDescent="0.3">
      <c r="B57" t="s">
        <v>83</v>
      </c>
      <c r="E57" s="138"/>
      <c r="F57" s="138"/>
      <c r="G57" s="138"/>
      <c r="H57" s="138"/>
      <c r="I57" s="30" t="s">
        <v>65</v>
      </c>
      <c r="J57" s="182"/>
      <c r="K57" s="139">
        <v>90</v>
      </c>
      <c r="L57" s="139">
        <v>90</v>
      </c>
      <c r="M57" s="139">
        <v>90</v>
      </c>
      <c r="N57" s="139">
        <v>90</v>
      </c>
    </row>
    <row r="58" spans="1:14" ht="14.4" customHeight="1" x14ac:dyDescent="0.3">
      <c r="B58" t="s">
        <v>85</v>
      </c>
      <c r="E58" s="138"/>
      <c r="F58" s="138"/>
      <c r="G58" s="138"/>
      <c r="H58" s="138"/>
      <c r="I58" s="30" t="s">
        <v>65</v>
      </c>
      <c r="J58" s="182"/>
      <c r="K58" s="139">
        <v>90</v>
      </c>
      <c r="L58" s="139">
        <v>90</v>
      </c>
      <c r="M58" s="139">
        <v>90</v>
      </c>
      <c r="N58" s="139">
        <v>90</v>
      </c>
    </row>
    <row r="59" spans="1:14" ht="14.4" customHeight="1" x14ac:dyDescent="0.3">
      <c r="B59" t="s">
        <v>88</v>
      </c>
      <c r="E59" s="138"/>
      <c r="F59" s="138"/>
      <c r="G59" s="138"/>
      <c r="H59" s="138"/>
      <c r="I59" s="30" t="s">
        <v>65</v>
      </c>
      <c r="J59" s="182"/>
      <c r="K59" s="139">
        <v>90</v>
      </c>
      <c r="L59" s="139">
        <v>90</v>
      </c>
      <c r="M59" s="139">
        <v>90</v>
      </c>
      <c r="N59" s="139">
        <v>90</v>
      </c>
    </row>
    <row r="60" spans="1:14" ht="14.4" customHeight="1" x14ac:dyDescent="0.3">
      <c r="B60" s="17" t="s">
        <v>260</v>
      </c>
      <c r="E60" s="138"/>
      <c r="F60" s="138"/>
      <c r="G60" s="138"/>
      <c r="H60" s="138"/>
      <c r="I60" s="30" t="s">
        <v>65</v>
      </c>
      <c r="J60" s="182"/>
      <c r="K60" s="139">
        <v>90</v>
      </c>
      <c r="L60" s="139">
        <v>90</v>
      </c>
      <c r="M60" s="139">
        <v>90</v>
      </c>
      <c r="N60" s="139">
        <v>90</v>
      </c>
    </row>
    <row r="61" spans="1:14" ht="14.4" customHeight="1" x14ac:dyDescent="0.3">
      <c r="B61" s="43" t="s">
        <v>276</v>
      </c>
      <c r="E61" s="138"/>
      <c r="F61" s="138"/>
      <c r="G61" s="138"/>
      <c r="H61" s="138"/>
      <c r="I61" s="30" t="s">
        <v>65</v>
      </c>
      <c r="J61" s="182"/>
      <c r="K61" s="139">
        <v>60</v>
      </c>
      <c r="L61" s="139">
        <v>90</v>
      </c>
      <c r="M61" s="139">
        <v>90</v>
      </c>
      <c r="N61" s="139">
        <v>90</v>
      </c>
    </row>
    <row r="62" spans="1:14" ht="14.4" customHeight="1" x14ac:dyDescent="0.3">
      <c r="B62" t="s">
        <v>91</v>
      </c>
      <c r="E62" s="138"/>
      <c r="F62" s="138"/>
      <c r="G62" s="138"/>
      <c r="H62" s="138"/>
      <c r="I62" s="30" t="s">
        <v>92</v>
      </c>
      <c r="J62" s="182"/>
      <c r="K62" s="139">
        <v>90</v>
      </c>
      <c r="L62" s="139">
        <v>90</v>
      </c>
      <c r="M62" s="139">
        <v>90</v>
      </c>
      <c r="N62" s="139">
        <v>90</v>
      </c>
    </row>
    <row r="63" spans="1:14" ht="14.4" customHeight="1" x14ac:dyDescent="0.3">
      <c r="B63" t="s">
        <v>95</v>
      </c>
      <c r="E63" s="138"/>
      <c r="F63" s="138"/>
      <c r="G63" s="138"/>
      <c r="H63" s="138"/>
      <c r="I63" s="30" t="s">
        <v>92</v>
      </c>
      <c r="J63" s="182"/>
      <c r="K63" s="139">
        <v>90</v>
      </c>
      <c r="L63" s="139">
        <v>90</v>
      </c>
      <c r="M63" s="139">
        <v>90</v>
      </c>
      <c r="N63" s="139">
        <v>90</v>
      </c>
    </row>
    <row r="64" spans="1:14" ht="14.4" customHeight="1" x14ac:dyDescent="0.3">
      <c r="B64" t="s">
        <v>96</v>
      </c>
      <c r="E64" s="138"/>
      <c r="F64" s="138"/>
      <c r="G64" s="138"/>
      <c r="H64" s="138"/>
      <c r="I64" s="30" t="s">
        <v>92</v>
      </c>
      <c r="J64" s="182"/>
      <c r="K64" s="139">
        <v>90</v>
      </c>
      <c r="L64" s="139">
        <v>90</v>
      </c>
      <c r="M64" s="139">
        <v>90</v>
      </c>
      <c r="N64" s="139">
        <v>90</v>
      </c>
    </row>
    <row r="65" spans="1:14" ht="14.4" customHeight="1" x14ac:dyDescent="0.3">
      <c r="B65" t="s">
        <v>98</v>
      </c>
      <c r="E65" s="138"/>
      <c r="F65" s="138"/>
      <c r="G65" s="138"/>
      <c r="H65" s="138"/>
      <c r="I65" s="30" t="s">
        <v>92</v>
      </c>
      <c r="J65" s="182"/>
      <c r="K65" s="139">
        <v>90</v>
      </c>
      <c r="L65" s="139">
        <v>90</v>
      </c>
      <c r="M65" s="139">
        <v>90</v>
      </c>
      <c r="N65" s="139">
        <v>90</v>
      </c>
    </row>
    <row r="66" spans="1:14" ht="14.4" customHeight="1" x14ac:dyDescent="0.3">
      <c r="B66" t="s">
        <v>100</v>
      </c>
      <c r="E66" s="138"/>
      <c r="F66" s="138"/>
      <c r="G66" s="138"/>
      <c r="H66" s="138"/>
      <c r="I66" s="30" t="s">
        <v>92</v>
      </c>
      <c r="J66" s="182"/>
      <c r="K66" s="139">
        <v>90</v>
      </c>
      <c r="L66" s="139">
        <v>90</v>
      </c>
      <c r="M66" s="139">
        <v>90</v>
      </c>
      <c r="N66" s="139">
        <v>90</v>
      </c>
    </row>
    <row r="67" spans="1:14" ht="14.4" customHeight="1" x14ac:dyDescent="0.3">
      <c r="B67" t="s">
        <v>102</v>
      </c>
      <c r="E67" s="138"/>
      <c r="F67" s="138"/>
      <c r="G67" s="138"/>
      <c r="H67" s="138"/>
      <c r="I67" s="30" t="s">
        <v>92</v>
      </c>
      <c r="J67" s="182"/>
      <c r="K67" s="139">
        <v>90</v>
      </c>
      <c r="L67" s="139">
        <v>90</v>
      </c>
      <c r="M67" s="139">
        <v>90</v>
      </c>
      <c r="N67" s="139">
        <v>90</v>
      </c>
    </row>
    <row r="68" spans="1:14" ht="14.4" customHeight="1" x14ac:dyDescent="0.3">
      <c r="B68" t="s">
        <v>103</v>
      </c>
      <c r="E68" s="138"/>
      <c r="F68" s="138"/>
      <c r="G68" s="138"/>
      <c r="H68" s="138"/>
      <c r="I68" s="30" t="s">
        <v>92</v>
      </c>
      <c r="J68" s="182"/>
      <c r="K68" s="139">
        <v>90</v>
      </c>
      <c r="L68" s="139">
        <v>90</v>
      </c>
      <c r="M68" s="139">
        <v>90</v>
      </c>
      <c r="N68" s="139">
        <v>90</v>
      </c>
    </row>
    <row r="69" spans="1:14" ht="14.4" customHeight="1" x14ac:dyDescent="0.3">
      <c r="B69" t="s">
        <v>104</v>
      </c>
      <c r="E69" s="138"/>
      <c r="F69" s="138"/>
      <c r="G69" s="138"/>
      <c r="H69" s="138"/>
      <c r="I69" s="30" t="s">
        <v>92</v>
      </c>
      <c r="J69" s="182"/>
      <c r="K69" s="139">
        <v>90</v>
      </c>
      <c r="L69" s="139">
        <v>90</v>
      </c>
      <c r="M69" s="139">
        <v>90</v>
      </c>
      <c r="N69" s="139">
        <v>90</v>
      </c>
    </row>
    <row r="72" spans="1:14" ht="14.4" customHeight="1" x14ac:dyDescent="0.3">
      <c r="A72" s="103" t="s">
        <v>171</v>
      </c>
      <c r="B72" s="136" t="s">
        <v>173</v>
      </c>
      <c r="C72" s="137"/>
      <c r="D72" s="137"/>
      <c r="E72" s="137"/>
      <c r="F72" s="137"/>
      <c r="G72" s="137"/>
      <c r="H72" s="137"/>
      <c r="I72" s="137"/>
      <c r="J72" s="137"/>
      <c r="K72" s="137"/>
      <c r="L72" s="137"/>
      <c r="M72" s="137"/>
      <c r="N72" s="137"/>
    </row>
    <row r="73" spans="1:14" ht="14.4" customHeight="1" x14ac:dyDescent="0.3">
      <c r="B73" t="s">
        <v>64</v>
      </c>
      <c r="E73" s="138"/>
      <c r="F73" s="138"/>
      <c r="G73" s="138"/>
      <c r="H73" s="138"/>
      <c r="I73" s="30" t="s">
        <v>65</v>
      </c>
      <c r="K73" s="107">
        <f>K52*NAV!P$25</f>
        <v>15759000</v>
      </c>
      <c r="L73" s="107">
        <f>L52*NAV!Q$25</f>
        <v>14183100</v>
      </c>
      <c r="M73" s="107">
        <f>M52*NAV!R$25</f>
        <v>11346480</v>
      </c>
      <c r="N73" s="107">
        <f>N52*NAV!S$25</f>
        <v>9077184</v>
      </c>
    </row>
    <row r="74" spans="1:14" ht="14.4" customHeight="1" x14ac:dyDescent="0.3">
      <c r="B74" t="s">
        <v>68</v>
      </c>
      <c r="E74" s="138"/>
      <c r="F74" s="138"/>
      <c r="G74" s="138"/>
      <c r="H74" s="138"/>
      <c r="I74" s="30" t="s">
        <v>65</v>
      </c>
      <c r="K74" s="107">
        <f>K53*NAV!P$25</f>
        <v>15759000</v>
      </c>
      <c r="L74" s="107">
        <f>L53*NAV!Q$25</f>
        <v>14183100</v>
      </c>
      <c r="M74" s="107">
        <f>M53*NAV!R$25</f>
        <v>11346480</v>
      </c>
      <c r="N74" s="107">
        <f>N53*NAV!S$25</f>
        <v>9077184</v>
      </c>
    </row>
    <row r="75" spans="1:14" ht="14.4" customHeight="1" x14ac:dyDescent="0.3">
      <c r="B75" t="s">
        <v>69</v>
      </c>
      <c r="E75" s="138"/>
      <c r="F75" s="138"/>
      <c r="G75" s="138"/>
      <c r="H75" s="138"/>
      <c r="I75" s="30" t="s">
        <v>65</v>
      </c>
      <c r="K75" s="107">
        <f>K54*NAV!P$25</f>
        <v>15759000</v>
      </c>
      <c r="L75" s="107">
        <f>L54*NAV!Q$25</f>
        <v>14183100</v>
      </c>
      <c r="M75" s="107">
        <f>M54*NAV!R$25</f>
        <v>11346480</v>
      </c>
      <c r="N75" s="107">
        <f>N54*NAV!S$25</f>
        <v>9077184</v>
      </c>
    </row>
    <row r="76" spans="1:14" ht="14.4" customHeight="1" x14ac:dyDescent="0.3">
      <c r="B76" t="s">
        <v>78</v>
      </c>
      <c r="E76" s="138"/>
      <c r="F76" s="138"/>
      <c r="G76" s="138"/>
      <c r="H76" s="138"/>
      <c r="I76" s="30" t="s">
        <v>65</v>
      </c>
      <c r="K76" s="107">
        <f>K55*NAV!P$25</f>
        <v>15759000</v>
      </c>
      <c r="L76" s="107">
        <f>L55*NAV!Q$25</f>
        <v>14183100</v>
      </c>
      <c r="M76" s="107">
        <f>M55*NAV!R$25</f>
        <v>11346480</v>
      </c>
      <c r="N76" s="107">
        <f>N55*NAV!S$25</f>
        <v>9077184</v>
      </c>
    </row>
    <row r="77" spans="1:14" ht="14.4" customHeight="1" x14ac:dyDescent="0.3">
      <c r="B77" t="s">
        <v>80</v>
      </c>
      <c r="E77" s="138"/>
      <c r="F77" s="138"/>
      <c r="G77" s="138"/>
      <c r="H77" s="138"/>
      <c r="I77" s="30" t="s">
        <v>65</v>
      </c>
      <c r="K77" s="107">
        <f>K56*NAV!P$25</f>
        <v>15759000</v>
      </c>
      <c r="L77" s="107">
        <f>L56*NAV!Q$25</f>
        <v>14183100</v>
      </c>
      <c r="M77" s="107">
        <f>M56*NAV!R$25</f>
        <v>11346480</v>
      </c>
      <c r="N77" s="107">
        <f>N56*NAV!S$25</f>
        <v>9077184</v>
      </c>
    </row>
    <row r="78" spans="1:14" ht="14.4" customHeight="1" x14ac:dyDescent="0.3">
      <c r="B78" t="s">
        <v>83</v>
      </c>
      <c r="E78" s="138"/>
      <c r="F78" s="138"/>
      <c r="G78" s="138"/>
      <c r="H78" s="138"/>
      <c r="I78" s="30" t="s">
        <v>65</v>
      </c>
      <c r="K78" s="107">
        <f>K57*NAV!P$25</f>
        <v>15759000</v>
      </c>
      <c r="L78" s="107">
        <f>L57*NAV!Q$25</f>
        <v>14183100</v>
      </c>
      <c r="M78" s="107">
        <f>M57*NAV!R$25</f>
        <v>11346480</v>
      </c>
      <c r="N78" s="107">
        <f>N57*NAV!S$25</f>
        <v>9077184</v>
      </c>
    </row>
    <row r="79" spans="1:14" ht="14.4" customHeight="1" x14ac:dyDescent="0.3">
      <c r="B79" t="s">
        <v>85</v>
      </c>
      <c r="E79" s="138"/>
      <c r="F79" s="138"/>
      <c r="G79" s="138"/>
      <c r="H79" s="138"/>
      <c r="I79" s="30" t="s">
        <v>65</v>
      </c>
      <c r="K79" s="107">
        <f>K58*NAV!P$25</f>
        <v>15759000</v>
      </c>
      <c r="L79" s="107">
        <f>L58*NAV!Q$25</f>
        <v>14183100</v>
      </c>
      <c r="M79" s="107">
        <f>M58*NAV!R$25</f>
        <v>11346480</v>
      </c>
      <c r="N79" s="107">
        <f>N58*NAV!S$25</f>
        <v>9077184</v>
      </c>
    </row>
    <row r="80" spans="1:14" ht="14.4" customHeight="1" x14ac:dyDescent="0.3">
      <c r="B80" t="s">
        <v>88</v>
      </c>
      <c r="E80" s="138"/>
      <c r="F80" s="138"/>
      <c r="G80" s="138"/>
      <c r="H80" s="138"/>
      <c r="I80" s="30" t="s">
        <v>65</v>
      </c>
      <c r="K80" s="107">
        <f>K59*NAV!P$25</f>
        <v>15759000</v>
      </c>
      <c r="L80" s="107">
        <f>L59*NAV!Q$25</f>
        <v>14183100</v>
      </c>
      <c r="M80" s="107">
        <f>M59*NAV!R$25</f>
        <v>11346480</v>
      </c>
      <c r="N80" s="107">
        <f>N59*NAV!S$25</f>
        <v>9077184</v>
      </c>
    </row>
    <row r="81" spans="2:14" ht="14.4" customHeight="1" x14ac:dyDescent="0.3">
      <c r="B81" s="17" t="s">
        <v>260</v>
      </c>
      <c r="E81" s="138"/>
      <c r="F81" s="138"/>
      <c r="G81" s="138"/>
      <c r="H81" s="138"/>
      <c r="I81" s="30" t="s">
        <v>65</v>
      </c>
      <c r="K81" s="107">
        <f>K60*NAV!P$25</f>
        <v>15759000</v>
      </c>
      <c r="L81" s="107">
        <f>L60*NAV!Q$25</f>
        <v>14183100</v>
      </c>
      <c r="M81" s="107">
        <f>M60*NAV!R$25</f>
        <v>11346480</v>
      </c>
      <c r="N81" s="107">
        <f>N60*NAV!S$25</f>
        <v>9077184</v>
      </c>
    </row>
    <row r="82" spans="2:14" ht="14.4" customHeight="1" x14ac:dyDescent="0.3">
      <c r="B82" s="43" t="s">
        <v>276</v>
      </c>
      <c r="E82" s="138"/>
      <c r="F82" s="138"/>
      <c r="G82" s="138"/>
      <c r="H82" s="138"/>
      <c r="I82" s="30" t="s">
        <v>65</v>
      </c>
      <c r="K82" s="107">
        <f>K61*NAV!P$25</f>
        <v>10506000</v>
      </c>
      <c r="L82" s="107">
        <f>L61*NAV!Q$25</f>
        <v>14183100</v>
      </c>
      <c r="M82" s="107">
        <f>M61*NAV!R$25</f>
        <v>11346480</v>
      </c>
      <c r="N82" s="107">
        <f>N61*NAV!S$25</f>
        <v>9077184</v>
      </c>
    </row>
    <row r="83" spans="2:14" ht="14.4" customHeight="1" x14ac:dyDescent="0.3">
      <c r="B83" t="s">
        <v>91</v>
      </c>
      <c r="E83" s="138"/>
      <c r="F83" s="138"/>
      <c r="G83" s="138"/>
      <c r="H83" s="138"/>
      <c r="I83" s="30" t="s">
        <v>92</v>
      </c>
      <c r="K83" s="107">
        <f>K62*NAV!P$25</f>
        <v>15759000</v>
      </c>
      <c r="L83" s="107">
        <f>L62*NAV!Q$25</f>
        <v>14183100</v>
      </c>
      <c r="M83" s="107">
        <f>M62*NAV!R$25</f>
        <v>11346480</v>
      </c>
      <c r="N83" s="107">
        <f>N62*NAV!S$25</f>
        <v>9077184</v>
      </c>
    </row>
    <row r="84" spans="2:14" ht="14.4" customHeight="1" x14ac:dyDescent="0.3">
      <c r="B84" t="s">
        <v>95</v>
      </c>
      <c r="E84" s="138"/>
      <c r="F84" s="138"/>
      <c r="G84" s="138"/>
      <c r="H84" s="138"/>
      <c r="I84" s="30" t="s">
        <v>92</v>
      </c>
      <c r="K84" s="107">
        <f>K63*NAV!P$25</f>
        <v>15759000</v>
      </c>
      <c r="L84" s="107">
        <f>L63*NAV!Q$25</f>
        <v>14183100</v>
      </c>
      <c r="M84" s="107">
        <f>M63*NAV!R$25</f>
        <v>11346480</v>
      </c>
      <c r="N84" s="107">
        <f>N63*NAV!S$25</f>
        <v>9077184</v>
      </c>
    </row>
    <row r="85" spans="2:14" ht="14.4" customHeight="1" x14ac:dyDescent="0.3">
      <c r="B85" t="s">
        <v>96</v>
      </c>
      <c r="E85" s="138"/>
      <c r="F85" s="138"/>
      <c r="G85" s="138"/>
      <c r="H85" s="138"/>
      <c r="I85" s="30" t="s">
        <v>92</v>
      </c>
      <c r="K85" s="107">
        <f>K64*NAV!P$25</f>
        <v>15759000</v>
      </c>
      <c r="L85" s="107">
        <f>L64*NAV!Q$25</f>
        <v>14183100</v>
      </c>
      <c r="M85" s="107">
        <f>M64*NAV!R$25</f>
        <v>11346480</v>
      </c>
      <c r="N85" s="107">
        <f>N64*NAV!S$25</f>
        <v>9077184</v>
      </c>
    </row>
    <row r="86" spans="2:14" ht="14.4" customHeight="1" x14ac:dyDescent="0.3">
      <c r="B86" t="s">
        <v>98</v>
      </c>
      <c r="E86" s="138"/>
      <c r="F86" s="138"/>
      <c r="G86" s="138"/>
      <c r="H86" s="138"/>
      <c r="I86" s="30" t="s">
        <v>92</v>
      </c>
      <c r="K86" s="107">
        <f>K65*NAV!P$25</f>
        <v>15759000</v>
      </c>
      <c r="L86" s="107">
        <f>L65*NAV!Q$25</f>
        <v>14183100</v>
      </c>
      <c r="M86" s="107">
        <f>M65*NAV!R$25</f>
        <v>11346480</v>
      </c>
      <c r="N86" s="107">
        <f>N65*NAV!S$25</f>
        <v>9077184</v>
      </c>
    </row>
    <row r="87" spans="2:14" ht="14.4" customHeight="1" x14ac:dyDescent="0.3">
      <c r="B87" t="s">
        <v>100</v>
      </c>
      <c r="E87" s="138"/>
      <c r="F87" s="138"/>
      <c r="G87" s="138"/>
      <c r="H87" s="138"/>
      <c r="I87" s="30" t="s">
        <v>92</v>
      </c>
      <c r="K87" s="107">
        <f>K66*NAV!P$25</f>
        <v>15759000</v>
      </c>
      <c r="L87" s="107">
        <f>L66*NAV!Q$25</f>
        <v>14183100</v>
      </c>
      <c r="M87" s="107">
        <f>M66*NAV!R$25</f>
        <v>11346480</v>
      </c>
      <c r="N87" s="107">
        <f>N66*NAV!S$25</f>
        <v>9077184</v>
      </c>
    </row>
    <row r="88" spans="2:14" ht="14.4" customHeight="1" x14ac:dyDescent="0.3">
      <c r="B88" t="s">
        <v>102</v>
      </c>
      <c r="E88" s="138"/>
      <c r="F88" s="138"/>
      <c r="G88" s="138"/>
      <c r="H88" s="138"/>
      <c r="I88" s="30" t="s">
        <v>92</v>
      </c>
      <c r="K88" s="107">
        <f>K67*NAV!P$25</f>
        <v>15759000</v>
      </c>
      <c r="L88" s="107">
        <f>L67*NAV!Q$25</f>
        <v>14183100</v>
      </c>
      <c r="M88" s="107">
        <f>M67*NAV!R$25</f>
        <v>11346480</v>
      </c>
      <c r="N88" s="107">
        <f>N67*NAV!S$25</f>
        <v>9077184</v>
      </c>
    </row>
    <row r="89" spans="2:14" ht="14.4" customHeight="1" x14ac:dyDescent="0.3">
      <c r="B89" t="s">
        <v>103</v>
      </c>
      <c r="E89" s="138"/>
      <c r="F89" s="138"/>
      <c r="G89" s="138"/>
      <c r="H89" s="138"/>
      <c r="I89" s="30" t="s">
        <v>92</v>
      </c>
      <c r="K89" s="107">
        <f>K68*NAV!P$25</f>
        <v>15759000</v>
      </c>
      <c r="L89" s="107">
        <f>L68*NAV!Q$25</f>
        <v>14183100</v>
      </c>
      <c r="M89" s="107">
        <f>M68*NAV!R$25</f>
        <v>11346480</v>
      </c>
      <c r="N89" s="107">
        <f>N68*NAV!S$25</f>
        <v>9077184</v>
      </c>
    </row>
    <row r="90" spans="2:14" ht="14.4" customHeight="1" x14ac:dyDescent="0.3">
      <c r="B90" t="s">
        <v>104</v>
      </c>
      <c r="E90" s="138"/>
      <c r="F90" s="138"/>
      <c r="G90" s="138"/>
      <c r="H90" s="138"/>
      <c r="I90" s="30" t="s">
        <v>92</v>
      </c>
      <c r="K90" s="107">
        <f>K69*NAV!P$25</f>
        <v>15759000</v>
      </c>
      <c r="L90" s="107">
        <f>L69*NAV!Q$25</f>
        <v>14183100</v>
      </c>
      <c r="M90" s="107">
        <f>M69*NAV!R$25</f>
        <v>11346480</v>
      </c>
      <c r="N90" s="107">
        <f>N69*NAV!S$25</f>
        <v>9077184</v>
      </c>
    </row>
    <row r="91" spans="2:14" ht="14.4" customHeight="1" x14ac:dyDescent="0.3">
      <c r="B91" s="17"/>
    </row>
    <row r="92" spans="2:14" ht="14.4" customHeight="1" x14ac:dyDescent="0.3">
      <c r="B92" s="17"/>
    </row>
    <row r="93" spans="2:14" ht="14.4" customHeight="1" x14ac:dyDescent="0.3">
      <c r="B93" s="17"/>
    </row>
    <row r="94" spans="2:14" ht="14.4" customHeight="1" x14ac:dyDescent="0.3">
      <c r="B94" s="17"/>
    </row>
    <row r="95" spans="2:14" ht="14.4" customHeight="1" x14ac:dyDescent="0.3">
      <c r="B95" s="17"/>
    </row>
    <row r="96" spans="2:14" ht="14.4" customHeight="1" x14ac:dyDescent="0.3">
      <c r="B96" s="17"/>
    </row>
    <row r="97" spans="2:2" ht="14.4" customHeight="1" x14ac:dyDescent="0.3">
      <c r="B97" s="17"/>
    </row>
    <row r="98" spans="2:2" ht="14.4" customHeight="1" x14ac:dyDescent="0.3">
      <c r="B98" s="17"/>
    </row>
    <row r="99" spans="2:2" ht="14.4" customHeight="1" x14ac:dyDescent="0.3">
      <c r="B99" s="17"/>
    </row>
    <row r="100" spans="2:2" ht="14.4" customHeight="1" x14ac:dyDescent="0.3">
      <c r="B100" s="17"/>
    </row>
    <row r="101" spans="2:2" ht="14.4" customHeight="1" x14ac:dyDescent="0.3">
      <c r="B101" s="17"/>
    </row>
  </sheetData>
  <pageMargins left="0.7" right="0.7" top="0.75" bottom="0.75" header="0.3" footer="0.3"/>
  <pageSetup paperSize="9" orientation="portrait" horizontalDpi="0" verticalDpi="0"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JG58"/>
  <sheetViews>
    <sheetView showGridLines="0" zoomScale="85" zoomScaleNormal="85" workbookViewId="0">
      <pane xSplit="2" ySplit="1" topLeftCell="I2" activePane="bottomRight" state="frozen"/>
      <selection pane="topRight" activeCell="C1" sqref="C1"/>
      <selection pane="bottomLeft" activeCell="A2" sqref="A2"/>
      <selection pane="bottomRight" activeCell="N2" sqref="N2"/>
    </sheetView>
  </sheetViews>
  <sheetFormatPr baseColWidth="10" defaultColWidth="12.77734375" defaultRowHeight="14.4" customHeight="1" outlineLevelCol="1" x14ac:dyDescent="0.3"/>
  <cols>
    <col min="1" max="1" width="2.77734375" style="141" customWidth="1"/>
    <col min="2" max="2" width="40.5546875" style="107" bestFit="1" customWidth="1"/>
    <col min="3" max="8" width="0" style="107" hidden="1" customWidth="1" outlineLevel="1"/>
    <col min="9" max="9" width="12.77734375" style="107" collapsed="1"/>
    <col min="10" max="16384" width="12.77734375" style="107"/>
  </cols>
  <sheetData>
    <row r="1" spans="1:267" customFormat="1" ht="14.4" customHeight="1" x14ac:dyDescent="0.3">
      <c r="A1" s="30"/>
      <c r="B1" s="100" t="s">
        <v>133</v>
      </c>
      <c r="C1" s="101">
        <v>2023</v>
      </c>
      <c r="D1" s="101">
        <v>2024</v>
      </c>
      <c r="E1" s="101" t="s">
        <v>134</v>
      </c>
      <c r="F1" s="101" t="s">
        <v>135</v>
      </c>
      <c r="G1" s="101" t="s">
        <v>136</v>
      </c>
      <c r="H1" s="101" t="s">
        <v>137</v>
      </c>
      <c r="I1" s="101" t="s">
        <v>73</v>
      </c>
      <c r="J1" s="101" t="s">
        <v>74</v>
      </c>
      <c r="K1" s="102" t="s">
        <v>75</v>
      </c>
      <c r="L1" s="102" t="s">
        <v>76</v>
      </c>
      <c r="M1" s="102" t="s">
        <v>77</v>
      </c>
      <c r="N1" s="102" t="s">
        <v>277</v>
      </c>
      <c r="O1" s="140"/>
      <c r="P1" s="140"/>
      <c r="Q1" s="140"/>
      <c r="R1" s="140"/>
      <c r="S1" s="140"/>
      <c r="T1" s="140"/>
      <c r="U1" s="140"/>
      <c r="V1" s="140"/>
      <c r="W1" s="140"/>
      <c r="X1" s="140"/>
      <c r="Y1" s="140"/>
      <c r="Z1" s="140"/>
      <c r="AA1" s="140"/>
      <c r="AB1" s="140"/>
      <c r="AC1" s="140"/>
      <c r="AD1" s="140"/>
      <c r="AE1" s="140"/>
      <c r="AF1" s="140"/>
      <c r="AG1" s="140"/>
      <c r="AH1" s="140"/>
      <c r="AI1" s="140"/>
      <c r="AJ1" s="140"/>
      <c r="AK1" s="140"/>
      <c r="AL1" s="140"/>
      <c r="AM1" s="140"/>
      <c r="AN1" s="140"/>
      <c r="AO1" s="140"/>
      <c r="AP1" s="140"/>
      <c r="AQ1" s="140"/>
      <c r="AR1" s="140"/>
      <c r="AS1" s="140"/>
      <c r="AT1" s="140"/>
      <c r="AU1" s="140"/>
      <c r="AV1" s="140"/>
      <c r="AW1" s="140"/>
      <c r="AX1" s="140"/>
      <c r="AY1" s="140"/>
      <c r="AZ1" s="140"/>
      <c r="BA1" s="140"/>
      <c r="BB1" s="140"/>
      <c r="BC1" s="140"/>
      <c r="BD1" s="140"/>
      <c r="BE1" s="140"/>
      <c r="BF1" s="140"/>
      <c r="BG1" s="140"/>
      <c r="BH1" s="140"/>
      <c r="BI1" s="140"/>
      <c r="BJ1" s="140"/>
      <c r="BK1" s="140"/>
      <c r="BL1" s="140"/>
      <c r="BM1" s="140"/>
      <c r="BN1" s="140"/>
      <c r="BO1" s="140"/>
      <c r="BP1" s="140"/>
      <c r="BQ1" s="140"/>
      <c r="BR1" s="140"/>
      <c r="BS1" s="140"/>
      <c r="BT1" s="140"/>
      <c r="BU1" s="140"/>
      <c r="BV1" s="140"/>
      <c r="BW1" s="140"/>
      <c r="BX1" s="140"/>
      <c r="BY1" s="140"/>
      <c r="BZ1" s="140"/>
      <c r="CA1" s="140"/>
      <c r="CB1" s="140"/>
      <c r="CC1" s="140"/>
      <c r="CD1" s="140"/>
      <c r="CE1" s="140"/>
      <c r="CF1" s="140"/>
      <c r="CG1" s="140"/>
      <c r="CH1" s="140"/>
      <c r="CI1" s="140"/>
      <c r="CJ1" s="140"/>
      <c r="CK1" s="140"/>
      <c r="CL1" s="140"/>
      <c r="CM1" s="140"/>
      <c r="CN1" s="140"/>
      <c r="CO1" s="140"/>
      <c r="CP1" s="140"/>
      <c r="CQ1" s="140"/>
      <c r="CR1" s="140"/>
      <c r="CS1" s="140"/>
      <c r="CT1" s="140"/>
      <c r="CU1" s="140"/>
      <c r="CV1" s="140"/>
      <c r="CW1" s="140"/>
      <c r="CX1" s="140"/>
      <c r="CY1" s="140"/>
      <c r="CZ1" s="140"/>
      <c r="DA1" s="140"/>
      <c r="DB1" s="140"/>
      <c r="DC1" s="140"/>
      <c r="DD1" s="140"/>
      <c r="DE1" s="140"/>
      <c r="DF1" s="140"/>
      <c r="DG1" s="140"/>
      <c r="DH1" s="140"/>
      <c r="DI1" s="140"/>
      <c r="DJ1" s="140"/>
      <c r="DK1" s="140"/>
      <c r="DL1" s="140"/>
      <c r="DM1" s="140"/>
      <c r="DN1" s="140"/>
      <c r="DO1" s="140"/>
      <c r="DP1" s="140"/>
      <c r="DQ1" s="140"/>
      <c r="DR1" s="140"/>
      <c r="DS1" s="140"/>
      <c r="DT1" s="140"/>
      <c r="DU1" s="140"/>
      <c r="DV1" s="140"/>
      <c r="DW1" s="140"/>
      <c r="DX1" s="140"/>
      <c r="DY1" s="140"/>
      <c r="DZ1" s="140"/>
      <c r="EA1" s="140"/>
      <c r="EB1" s="140"/>
      <c r="EC1" s="140"/>
      <c r="ED1" s="140"/>
      <c r="EE1" s="140"/>
      <c r="EF1" s="140"/>
      <c r="EG1" s="140"/>
      <c r="EH1" s="140"/>
      <c r="EI1" s="140"/>
      <c r="EJ1" s="140"/>
      <c r="EK1" s="140"/>
      <c r="EL1" s="140"/>
      <c r="EM1" s="140"/>
      <c r="EN1" s="140"/>
      <c r="EO1" s="140"/>
      <c r="EP1" s="140"/>
      <c r="EQ1" s="140"/>
      <c r="ER1" s="140"/>
      <c r="ES1" s="140"/>
      <c r="ET1" s="140"/>
      <c r="EU1" s="140"/>
      <c r="EV1" s="140"/>
      <c r="EW1" s="140"/>
      <c r="EX1" s="140"/>
      <c r="EY1" s="140"/>
      <c r="EZ1" s="140"/>
      <c r="FA1" s="140"/>
      <c r="FB1" s="140"/>
      <c r="FC1" s="140"/>
      <c r="FD1" s="140"/>
      <c r="FE1" s="140"/>
      <c r="FF1" s="140"/>
      <c r="FG1" s="140"/>
      <c r="FH1" s="140"/>
      <c r="FI1" s="140"/>
      <c r="FJ1" s="140"/>
      <c r="FK1" s="140"/>
      <c r="FL1" s="140"/>
      <c r="FM1" s="140"/>
      <c r="FN1" s="140"/>
      <c r="FO1" s="140"/>
      <c r="FP1" s="140"/>
      <c r="FQ1" s="140"/>
      <c r="FR1" s="140"/>
      <c r="FS1" s="140"/>
      <c r="FT1" s="140"/>
      <c r="FU1" s="140"/>
      <c r="FV1" s="140"/>
      <c r="FW1" s="140"/>
      <c r="FX1" s="140"/>
      <c r="FY1" s="140"/>
      <c r="FZ1" s="140"/>
      <c r="GA1" s="140"/>
      <c r="GB1" s="140"/>
      <c r="GC1" s="140"/>
      <c r="GD1" s="140"/>
      <c r="GE1" s="140"/>
      <c r="GF1" s="140"/>
      <c r="GG1" s="140"/>
      <c r="GH1" s="140"/>
      <c r="GI1" s="140"/>
      <c r="GJ1" s="140"/>
      <c r="GK1" s="140"/>
      <c r="GL1" s="140"/>
      <c r="GM1" s="140"/>
      <c r="GN1" s="140"/>
      <c r="GO1" s="140"/>
      <c r="GP1" s="140"/>
      <c r="GQ1" s="140"/>
      <c r="GR1" s="140"/>
      <c r="GS1" s="140"/>
      <c r="GT1" s="140"/>
      <c r="GU1" s="140"/>
      <c r="GV1" s="140"/>
      <c r="GW1" s="140"/>
      <c r="GX1" s="140"/>
      <c r="GY1" s="140"/>
      <c r="GZ1" s="140"/>
      <c r="HA1" s="140"/>
      <c r="HB1" s="140"/>
      <c r="HC1" s="140"/>
      <c r="HD1" s="140"/>
      <c r="HE1" s="140"/>
      <c r="HF1" s="140"/>
      <c r="HG1" s="140"/>
      <c r="HH1" s="140"/>
      <c r="HI1" s="140"/>
      <c r="HJ1" s="140"/>
      <c r="HK1" s="140"/>
      <c r="HL1" s="140"/>
      <c r="HM1" s="140"/>
      <c r="HN1" s="140"/>
      <c r="HO1" s="140"/>
      <c r="HP1" s="140"/>
      <c r="HQ1" s="140"/>
      <c r="HR1" s="140"/>
      <c r="HS1" s="140"/>
      <c r="HT1" s="140"/>
      <c r="HU1" s="140"/>
      <c r="HV1" s="140"/>
      <c r="HW1" s="140"/>
      <c r="HX1" s="140"/>
      <c r="HY1" s="140"/>
      <c r="HZ1" s="140"/>
      <c r="IA1" s="140"/>
      <c r="IB1" s="140"/>
      <c r="IC1" s="140"/>
      <c r="ID1" s="140"/>
      <c r="IE1" s="140"/>
      <c r="IF1" s="140"/>
      <c r="IG1" s="140"/>
      <c r="IH1" s="140"/>
      <c r="II1" s="140"/>
      <c r="IJ1" s="140"/>
      <c r="IK1" s="140"/>
      <c r="IL1" s="140"/>
      <c r="IM1" s="140"/>
      <c r="IN1" s="140"/>
      <c r="IO1" s="140"/>
      <c r="IP1" s="140"/>
      <c r="IQ1" s="140"/>
      <c r="IR1" s="140"/>
      <c r="IS1" s="140"/>
      <c r="IT1" s="140"/>
      <c r="IU1" s="140"/>
      <c r="IV1" s="140"/>
      <c r="IW1" s="140"/>
      <c r="IX1" s="140"/>
      <c r="IY1" s="140"/>
      <c r="IZ1" s="140"/>
      <c r="JA1" s="140"/>
      <c r="JB1" s="140"/>
      <c r="JC1" s="140"/>
      <c r="JD1" s="140"/>
      <c r="JE1" s="140"/>
      <c r="JF1" s="140"/>
      <c r="JG1" s="140"/>
    </row>
    <row r="2" spans="1:267" ht="14.4" customHeight="1" x14ac:dyDescent="0.3">
      <c r="B2" s="142" t="s">
        <v>174</v>
      </c>
      <c r="C2" s="142">
        <f>SUM(C3:C8)</f>
        <v>991165432</v>
      </c>
      <c r="D2" s="142">
        <f t="shared" ref="D2:M2" si="0">SUM(D3:D8)</f>
        <v>963187726</v>
      </c>
      <c r="E2" s="142">
        <f t="shared" si="0"/>
        <v>953664711</v>
      </c>
      <c r="F2" s="142">
        <f t="shared" si="0"/>
        <v>946286937</v>
      </c>
      <c r="G2" s="142">
        <f t="shared" si="0"/>
        <v>933398139</v>
      </c>
      <c r="H2" s="142">
        <f t="shared" si="0"/>
        <v>965700400</v>
      </c>
      <c r="I2" s="142">
        <f t="shared" si="0"/>
        <v>1151235754</v>
      </c>
      <c r="J2" s="142">
        <f t="shared" si="0"/>
        <v>1223485048</v>
      </c>
      <c r="K2" s="142">
        <f t="shared" si="0"/>
        <v>1289916751</v>
      </c>
      <c r="L2" s="142">
        <f t="shared" si="0"/>
        <v>1277181713</v>
      </c>
      <c r="M2" s="142">
        <f t="shared" si="0"/>
        <v>1264446675</v>
      </c>
      <c r="N2" s="142">
        <f t="shared" ref="N2" si="1">SUM(N3:N8)</f>
        <v>1251711637</v>
      </c>
    </row>
    <row r="3" spans="1:267" ht="14.4" customHeight="1" x14ac:dyDescent="0.3">
      <c r="B3" s="143" t="s">
        <v>175</v>
      </c>
      <c r="C3" s="124">
        <v>988068180</v>
      </c>
      <c r="D3" s="124">
        <v>958597520</v>
      </c>
      <c r="E3" s="124">
        <v>948625667</v>
      </c>
      <c r="F3" s="124">
        <v>938668044</v>
      </c>
      <c r="G3" s="124">
        <v>928329593</v>
      </c>
      <c r="H3" s="124">
        <v>922117179</v>
      </c>
      <c r="I3" s="124">
        <v>1105213636</v>
      </c>
      <c r="J3" s="124">
        <v>1193612396</v>
      </c>
      <c r="K3" s="124">
        <f>J3+'P&amp;L'!K9+Balance!K58</f>
        <v>1280177358</v>
      </c>
      <c r="L3" s="124">
        <f>K3+'P&amp;L'!L9+Balance!L58</f>
        <v>1267442320</v>
      </c>
      <c r="M3" s="124">
        <f>L3+'P&amp;L'!M9+Balance!M58</f>
        <v>1254707282</v>
      </c>
      <c r="N3" s="124">
        <f>M3+'P&amp;L'!N9+Balance!N58</f>
        <v>1241972244</v>
      </c>
    </row>
    <row r="4" spans="1:267" ht="14.4" customHeight="1" x14ac:dyDescent="0.3">
      <c r="B4" s="143" t="s">
        <v>176</v>
      </c>
      <c r="C4" s="124"/>
      <c r="D4" s="124"/>
      <c r="E4" s="124"/>
      <c r="F4" s="124"/>
      <c r="G4" s="124"/>
      <c r="H4" s="124">
        <v>38894251</v>
      </c>
      <c r="I4" s="124">
        <v>39737420</v>
      </c>
      <c r="J4" s="114">
        <v>20133259</v>
      </c>
      <c r="K4" s="146">
        <v>0</v>
      </c>
      <c r="L4" s="146">
        <v>0</v>
      </c>
      <c r="M4" s="146">
        <v>0</v>
      </c>
      <c r="N4" s="146">
        <v>0</v>
      </c>
    </row>
    <row r="5" spans="1:267" ht="14.4" customHeight="1" x14ac:dyDescent="0.3">
      <c r="B5" s="143" t="s">
        <v>177</v>
      </c>
      <c r="C5" s="124">
        <v>0</v>
      </c>
      <c r="D5" s="124">
        <v>0</v>
      </c>
      <c r="E5" s="124">
        <v>0</v>
      </c>
      <c r="F5" s="124">
        <v>2240841</v>
      </c>
      <c r="G5" s="124">
        <v>63800</v>
      </c>
      <c r="H5" s="124">
        <v>58332</v>
      </c>
      <c r="I5" s="124">
        <v>1274698</v>
      </c>
      <c r="J5" s="114">
        <v>3529393</v>
      </c>
      <c r="K5" s="177">
        <v>3529393</v>
      </c>
      <c r="L5" s="177">
        <v>3529393</v>
      </c>
      <c r="M5" s="177">
        <v>3529393</v>
      </c>
      <c r="N5" s="177">
        <v>3529393</v>
      </c>
    </row>
    <row r="6" spans="1:267" ht="14.4" customHeight="1" x14ac:dyDescent="0.3">
      <c r="B6" s="111" t="s">
        <v>178</v>
      </c>
      <c r="C6" s="124">
        <v>87252</v>
      </c>
      <c r="D6" s="124">
        <v>80206</v>
      </c>
      <c r="E6" s="114">
        <v>74738</v>
      </c>
      <c r="F6" s="114">
        <v>0</v>
      </c>
      <c r="G6" s="114">
        <v>0</v>
      </c>
      <c r="H6" s="114">
        <v>0</v>
      </c>
      <c r="I6" s="114">
        <v>0</v>
      </c>
      <c r="J6" s="114">
        <v>0</v>
      </c>
      <c r="K6" s="144">
        <v>0</v>
      </c>
      <c r="L6" s="144">
        <v>0</v>
      </c>
      <c r="M6" s="144">
        <v>0</v>
      </c>
      <c r="N6" s="144">
        <v>0</v>
      </c>
    </row>
    <row r="7" spans="1:267" ht="14.4" customHeight="1" x14ac:dyDescent="0.3">
      <c r="B7" s="111" t="s">
        <v>179</v>
      </c>
      <c r="C7" s="124">
        <v>0</v>
      </c>
      <c r="D7" s="124">
        <v>0</v>
      </c>
      <c r="E7" s="114">
        <v>454306</v>
      </c>
      <c r="F7" s="114">
        <v>868052</v>
      </c>
      <c r="G7" s="114">
        <v>494746</v>
      </c>
      <c r="H7" s="114">
        <v>120638</v>
      </c>
      <c r="I7" s="114">
        <v>0</v>
      </c>
      <c r="J7" s="114">
        <v>0</v>
      </c>
      <c r="K7" s="144">
        <v>0</v>
      </c>
      <c r="L7" s="144">
        <v>0</v>
      </c>
      <c r="M7" s="144">
        <v>0</v>
      </c>
      <c r="N7" s="144">
        <v>0</v>
      </c>
    </row>
    <row r="8" spans="1:267" ht="14.4" customHeight="1" x14ac:dyDescent="0.3">
      <c r="B8" s="111" t="s">
        <v>180</v>
      </c>
      <c r="C8" s="124">
        <v>3010000</v>
      </c>
      <c r="D8" s="124">
        <v>4510000</v>
      </c>
      <c r="E8" s="114">
        <v>4510000</v>
      </c>
      <c r="F8" s="114">
        <v>4510000</v>
      </c>
      <c r="G8" s="114">
        <v>4510000</v>
      </c>
      <c r="H8" s="114">
        <v>4510000</v>
      </c>
      <c r="I8" s="114">
        <v>5010000</v>
      </c>
      <c r="J8" s="114">
        <v>6210000</v>
      </c>
      <c r="K8" s="177">
        <v>6210000</v>
      </c>
      <c r="L8" s="177">
        <v>6210000</v>
      </c>
      <c r="M8" s="177">
        <v>6210000</v>
      </c>
      <c r="N8" s="177">
        <v>6210000</v>
      </c>
    </row>
    <row r="9" spans="1:267" ht="14.4" customHeight="1" x14ac:dyDescent="0.3">
      <c r="B9" s="145"/>
      <c r="C9" s="124"/>
      <c r="D9" s="124"/>
      <c r="G9" s="120"/>
      <c r="I9" s="124"/>
      <c r="J9" s="124"/>
      <c r="K9" s="124"/>
      <c r="L9" s="124"/>
      <c r="M9" s="124"/>
      <c r="N9" s="124"/>
    </row>
    <row r="10" spans="1:267" ht="14.4" customHeight="1" x14ac:dyDescent="0.3">
      <c r="B10" s="142" t="s">
        <v>181</v>
      </c>
      <c r="C10" s="142">
        <f>SUM(C11:C18)</f>
        <v>137949616</v>
      </c>
      <c r="D10" s="142">
        <f t="shared" ref="D10:M10" si="2">SUM(D11:D18)</f>
        <v>118911883</v>
      </c>
      <c r="E10" s="142">
        <f t="shared" si="2"/>
        <v>115700771</v>
      </c>
      <c r="F10" s="142">
        <f t="shared" si="2"/>
        <v>136833282</v>
      </c>
      <c r="G10" s="142">
        <f t="shared" si="2"/>
        <v>133703239</v>
      </c>
      <c r="H10" s="142">
        <f t="shared" si="2"/>
        <v>234944340</v>
      </c>
      <c r="I10" s="142">
        <f t="shared" si="2"/>
        <v>295816411</v>
      </c>
      <c r="J10" s="142">
        <f t="shared" si="2"/>
        <v>425770942</v>
      </c>
      <c r="K10" s="142">
        <f t="shared" si="2"/>
        <v>383274770</v>
      </c>
      <c r="L10" s="142">
        <f t="shared" si="2"/>
        <v>359970020.75</v>
      </c>
      <c r="M10" s="142">
        <f t="shared" si="2"/>
        <v>308719311.5</v>
      </c>
      <c r="N10" s="142">
        <f t="shared" ref="N10" si="3">SUM(N11:N18)</f>
        <v>267680434.25</v>
      </c>
    </row>
    <row r="11" spans="1:267" ht="14.4" customHeight="1" x14ac:dyDescent="0.3">
      <c r="B11" s="143" t="s">
        <v>182</v>
      </c>
      <c r="C11" s="124">
        <v>25354017</v>
      </c>
      <c r="D11" s="124">
        <v>24341665</v>
      </c>
      <c r="E11" s="124">
        <v>25974839</v>
      </c>
      <c r="F11" s="124">
        <v>21977229</v>
      </c>
      <c r="G11" s="114">
        <v>20809128</v>
      </c>
      <c r="H11" s="124">
        <v>17273715</v>
      </c>
      <c r="I11" s="124">
        <v>24351319</v>
      </c>
      <c r="J11" s="114">
        <v>29662719</v>
      </c>
      <c r="K11" s="146">
        <v>29662719</v>
      </c>
      <c r="L11" s="146">
        <v>29662719</v>
      </c>
      <c r="M11" s="146">
        <v>29662719</v>
      </c>
      <c r="N11" s="146">
        <v>29662719</v>
      </c>
    </row>
    <row r="12" spans="1:267" ht="14.4" customHeight="1" x14ac:dyDescent="0.3">
      <c r="B12" s="143" t="s">
        <v>183</v>
      </c>
      <c r="C12" s="124">
        <v>57336089</v>
      </c>
      <c r="D12" s="124">
        <v>39755029</v>
      </c>
      <c r="E12" s="114">
        <v>46941953</v>
      </c>
      <c r="F12" s="114">
        <v>44415012</v>
      </c>
      <c r="G12" s="114">
        <v>51303526</v>
      </c>
      <c r="H12" s="114">
        <v>85091040</v>
      </c>
      <c r="I12" s="114">
        <v>78658818</v>
      </c>
      <c r="J12" s="114">
        <v>133974496</v>
      </c>
      <c r="K12" s="146">
        <v>133974496</v>
      </c>
      <c r="L12" s="146">
        <v>133974496</v>
      </c>
      <c r="M12" s="146">
        <v>133974496</v>
      </c>
      <c r="N12" s="146">
        <v>133974496</v>
      </c>
    </row>
    <row r="13" spans="1:267" ht="14.4" customHeight="1" x14ac:dyDescent="0.3">
      <c r="B13" s="143" t="s">
        <v>184</v>
      </c>
      <c r="C13" s="124">
        <v>115528</v>
      </c>
      <c r="D13" s="124">
        <v>242576</v>
      </c>
      <c r="E13" s="114">
        <v>320097</v>
      </c>
      <c r="F13" s="114">
        <v>320097</v>
      </c>
      <c r="G13" s="114">
        <v>320097</v>
      </c>
      <c r="H13" s="114">
        <v>320097</v>
      </c>
      <c r="I13" s="114">
        <v>590016</v>
      </c>
      <c r="J13" s="114">
        <v>612402</v>
      </c>
      <c r="K13" s="146">
        <v>612402</v>
      </c>
      <c r="L13" s="146">
        <v>612402</v>
      </c>
      <c r="M13" s="146">
        <v>612402</v>
      </c>
      <c r="N13" s="146">
        <v>612402</v>
      </c>
    </row>
    <row r="14" spans="1:267" ht="14.4" customHeight="1" x14ac:dyDescent="0.3">
      <c r="B14" s="143" t="s">
        <v>185</v>
      </c>
      <c r="C14" s="124">
        <v>3037366</v>
      </c>
      <c r="D14" s="124">
        <v>4794022</v>
      </c>
      <c r="E14" s="114">
        <v>2970334</v>
      </c>
      <c r="F14" s="114">
        <v>6927636</v>
      </c>
      <c r="G14" s="114">
        <v>5685670</v>
      </c>
      <c r="H14" s="114">
        <v>6466709</v>
      </c>
      <c r="I14" s="114">
        <v>12479166</v>
      </c>
      <c r="J14" s="114">
        <v>9579615</v>
      </c>
      <c r="K14" s="146">
        <v>9579615</v>
      </c>
      <c r="L14" s="146">
        <v>9579615</v>
      </c>
      <c r="M14" s="146">
        <v>9579615</v>
      </c>
      <c r="N14" s="146">
        <v>9579615</v>
      </c>
    </row>
    <row r="15" spans="1:267" ht="14.4" customHeight="1" x14ac:dyDescent="0.3">
      <c r="B15" s="143" t="s">
        <v>186</v>
      </c>
      <c r="C15" s="124">
        <v>0</v>
      </c>
      <c r="D15" s="124">
        <v>0</v>
      </c>
      <c r="E15" s="114">
        <v>388938</v>
      </c>
      <c r="F15" s="114">
        <v>623462</v>
      </c>
      <c r="G15" s="114">
        <v>345103</v>
      </c>
      <c r="H15" s="114">
        <v>6286469</v>
      </c>
      <c r="I15" s="114">
        <v>7263886</v>
      </c>
      <c r="J15" s="114">
        <v>8475446</v>
      </c>
      <c r="K15" s="146">
        <v>8475446</v>
      </c>
      <c r="L15" s="146">
        <v>8475446</v>
      </c>
      <c r="M15" s="146">
        <v>8475446</v>
      </c>
      <c r="N15" s="146">
        <v>8475446</v>
      </c>
    </row>
    <row r="16" spans="1:267" ht="14.4" customHeight="1" x14ac:dyDescent="0.3">
      <c r="B16" s="143" t="s">
        <v>179</v>
      </c>
      <c r="C16" s="124">
        <v>229373</v>
      </c>
      <c r="D16" s="124">
        <v>0</v>
      </c>
      <c r="E16" s="114">
        <v>612671</v>
      </c>
      <c r="F16" s="114">
        <v>1744055</v>
      </c>
      <c r="G16" s="114">
        <v>1562196</v>
      </c>
      <c r="H16" s="114">
        <v>1470326</v>
      </c>
      <c r="I16" s="114">
        <v>963507</v>
      </c>
      <c r="J16" s="114">
        <v>1869361</v>
      </c>
      <c r="K16" s="146">
        <v>1869361</v>
      </c>
      <c r="L16" s="146">
        <v>1869361</v>
      </c>
      <c r="M16" s="146">
        <v>1869361</v>
      </c>
      <c r="N16" s="146">
        <v>1869361</v>
      </c>
    </row>
    <row r="17" spans="2:14" ht="14.4" customHeight="1" x14ac:dyDescent="0.3">
      <c r="B17" s="143" t="s">
        <v>187</v>
      </c>
      <c r="C17" s="124">
        <v>1884852</v>
      </c>
      <c r="D17" s="124">
        <v>434927</v>
      </c>
      <c r="E17" s="114">
        <v>1345947</v>
      </c>
      <c r="F17" s="114">
        <v>1072372</v>
      </c>
      <c r="G17" s="114">
        <v>1033311</v>
      </c>
      <c r="H17" s="114">
        <v>1399243</v>
      </c>
      <c r="I17" s="114">
        <v>45937603</v>
      </c>
      <c r="J17" s="114">
        <v>19005431</v>
      </c>
      <c r="K17" s="146">
        <v>19005431</v>
      </c>
      <c r="L17" s="146">
        <v>19005431</v>
      </c>
      <c r="M17" s="146">
        <v>19005431</v>
      </c>
      <c r="N17" s="146">
        <v>19005431</v>
      </c>
    </row>
    <row r="18" spans="2:14" ht="14.4" customHeight="1" x14ac:dyDescent="0.3">
      <c r="B18" s="147" t="s">
        <v>188</v>
      </c>
      <c r="C18" s="124">
        <v>49992391</v>
      </c>
      <c r="D18" s="124">
        <v>49343664</v>
      </c>
      <c r="E18" s="114">
        <v>37145992</v>
      </c>
      <c r="F18" s="114">
        <v>59753419</v>
      </c>
      <c r="G18" s="114">
        <v>52644208</v>
      </c>
      <c r="H18" s="114">
        <v>116636741</v>
      </c>
      <c r="I18" s="114">
        <v>125572096</v>
      </c>
      <c r="J18" s="114">
        <v>222591472</v>
      </c>
      <c r="K18" s="114">
        <f>CashFlow!K61</f>
        <v>180095300</v>
      </c>
      <c r="L18" s="114">
        <f>CashFlow!L61</f>
        <v>156790550.74999997</v>
      </c>
      <c r="M18" s="114">
        <f>CashFlow!M61</f>
        <v>105539841.5</v>
      </c>
      <c r="N18" s="114">
        <f>CashFlow!N61</f>
        <v>64500964.25</v>
      </c>
    </row>
    <row r="19" spans="2:14" ht="14.4" customHeight="1" x14ac:dyDescent="0.3">
      <c r="B19" s="145"/>
      <c r="C19" s="124"/>
      <c r="D19" s="124"/>
      <c r="G19" s="120"/>
    </row>
    <row r="20" spans="2:14" ht="14.4" customHeight="1" x14ac:dyDescent="0.3">
      <c r="B20" s="121" t="s">
        <v>189</v>
      </c>
      <c r="C20" s="121">
        <f t="shared" ref="C20:M20" si="4">SUM(C2+C10)</f>
        <v>1129115048</v>
      </c>
      <c r="D20" s="121">
        <f t="shared" si="4"/>
        <v>1082099609</v>
      </c>
      <c r="E20" s="121">
        <f t="shared" si="4"/>
        <v>1069365482</v>
      </c>
      <c r="F20" s="121">
        <f t="shared" si="4"/>
        <v>1083120219</v>
      </c>
      <c r="G20" s="121">
        <f t="shared" si="4"/>
        <v>1067101378</v>
      </c>
      <c r="H20" s="121">
        <f t="shared" si="4"/>
        <v>1200644740</v>
      </c>
      <c r="I20" s="121">
        <f t="shared" si="4"/>
        <v>1447052165</v>
      </c>
      <c r="J20" s="121">
        <f t="shared" si="4"/>
        <v>1649255990</v>
      </c>
      <c r="K20" s="121">
        <f t="shared" si="4"/>
        <v>1673191521</v>
      </c>
      <c r="L20" s="121">
        <f t="shared" si="4"/>
        <v>1637151733.75</v>
      </c>
      <c r="M20" s="121">
        <f t="shared" si="4"/>
        <v>1573165986.5</v>
      </c>
      <c r="N20" s="121">
        <f t="shared" ref="N20" si="5">SUM(N2+N10)</f>
        <v>1519392071.25</v>
      </c>
    </row>
    <row r="21" spans="2:14" ht="14.4" customHeight="1" x14ac:dyDescent="0.3">
      <c r="B21" s="72"/>
      <c r="C21" s="72"/>
      <c r="D21" s="72"/>
    </row>
    <row r="23" spans="2:14" ht="14.4" customHeight="1" x14ac:dyDescent="0.3">
      <c r="B23" s="142" t="s">
        <v>190</v>
      </c>
      <c r="C23" s="142">
        <f>SUM(C24:C26)</f>
        <v>615366555</v>
      </c>
      <c r="D23" s="142">
        <f>SUM(D24:D26)</f>
        <v>599002128</v>
      </c>
      <c r="E23" s="142">
        <f>SUM(E24:E26)</f>
        <v>587348935</v>
      </c>
      <c r="F23" s="142">
        <f>SUM(F24:F26)</f>
        <v>585029821</v>
      </c>
      <c r="G23" s="142">
        <f t="shared" ref="G23:M23" si="6">SUM(G24:G26)</f>
        <v>570368691</v>
      </c>
      <c r="H23" s="142">
        <f t="shared" si="6"/>
        <v>558687042</v>
      </c>
      <c r="I23" s="142">
        <f t="shared" si="6"/>
        <v>547877094</v>
      </c>
      <c r="J23" s="142">
        <f t="shared" si="6"/>
        <v>675723219</v>
      </c>
      <c r="K23" s="142">
        <f t="shared" si="6"/>
        <v>714502980.75</v>
      </c>
      <c r="L23" s="142">
        <f t="shared" si="6"/>
        <v>701576393.5</v>
      </c>
      <c r="M23" s="142">
        <f t="shared" si="6"/>
        <v>688649806.25</v>
      </c>
      <c r="N23" s="142">
        <f t="shared" ref="N23" si="7">SUM(N24:N26)</f>
        <v>675723219</v>
      </c>
    </row>
    <row r="24" spans="2:14" ht="14.4" customHeight="1" x14ac:dyDescent="0.3">
      <c r="B24" s="148" t="s">
        <v>191</v>
      </c>
      <c r="C24" s="114">
        <v>615333863</v>
      </c>
      <c r="D24" s="114">
        <v>598957333</v>
      </c>
      <c r="E24" s="114">
        <v>587298805</v>
      </c>
      <c r="F24" s="114">
        <v>583947802</v>
      </c>
      <c r="G24" s="114">
        <v>570314541</v>
      </c>
      <c r="H24" s="114">
        <v>558625413</v>
      </c>
      <c r="I24" s="114">
        <v>546218974</v>
      </c>
      <c r="J24" s="114">
        <v>670787434</v>
      </c>
      <c r="K24" s="158">
        <f>J24+J34-(51706349/4)</f>
        <v>709567195.75</v>
      </c>
      <c r="L24" s="158">
        <f>K24+K34-(51706349/4)</f>
        <v>696640608.5</v>
      </c>
      <c r="M24" s="158">
        <f>L24+L34-(51706349/4)</f>
        <v>683714021.25</v>
      </c>
      <c r="N24" s="158">
        <f>M24+M34-(51706349/4)</f>
        <v>670787434</v>
      </c>
    </row>
    <row r="25" spans="2:14" ht="14.4" customHeight="1" x14ac:dyDescent="0.3">
      <c r="B25" s="148" t="s">
        <v>192</v>
      </c>
      <c r="C25" s="114">
        <v>32692</v>
      </c>
      <c r="D25" s="114">
        <v>44795</v>
      </c>
      <c r="E25" s="114">
        <v>50130</v>
      </c>
      <c r="F25" s="114">
        <v>50130</v>
      </c>
      <c r="G25" s="114">
        <v>54150</v>
      </c>
      <c r="H25" s="114">
        <v>61629</v>
      </c>
      <c r="I25" s="114">
        <v>61629</v>
      </c>
      <c r="J25" s="114">
        <v>61629</v>
      </c>
      <c r="K25" s="146">
        <v>61629</v>
      </c>
      <c r="L25" s="146">
        <v>61629</v>
      </c>
      <c r="M25" s="146">
        <v>61629</v>
      </c>
      <c r="N25" s="146">
        <v>61629</v>
      </c>
    </row>
    <row r="26" spans="2:14" ht="14.4" customHeight="1" x14ac:dyDescent="0.3">
      <c r="B26" s="148" t="s">
        <v>193</v>
      </c>
      <c r="C26" s="114"/>
      <c r="D26" s="114"/>
      <c r="E26" s="114"/>
      <c r="F26" s="114">
        <v>1031889</v>
      </c>
      <c r="G26" s="114">
        <v>0</v>
      </c>
      <c r="H26" s="114"/>
      <c r="I26" s="114">
        <v>1596491</v>
      </c>
      <c r="J26" s="114">
        <v>4874156</v>
      </c>
      <c r="K26" s="146">
        <v>4874156</v>
      </c>
      <c r="L26" s="146">
        <v>4874156</v>
      </c>
      <c r="M26" s="146">
        <v>4874156</v>
      </c>
      <c r="N26" s="146">
        <v>4874156</v>
      </c>
    </row>
    <row r="27" spans="2:14" ht="14.4" customHeight="1" x14ac:dyDescent="0.3">
      <c r="B27" s="149"/>
      <c r="C27" s="120"/>
      <c r="D27" s="120"/>
      <c r="E27" s="120"/>
      <c r="F27" s="120"/>
      <c r="G27" s="120"/>
      <c r="H27" s="120"/>
      <c r="I27" s="120"/>
    </row>
    <row r="28" spans="2:14" ht="14.4" customHeight="1" x14ac:dyDescent="0.3">
      <c r="B28" s="142" t="s">
        <v>194</v>
      </c>
      <c r="C28" s="142">
        <f>SUM(C29:C34)</f>
        <v>105616345</v>
      </c>
      <c r="D28" s="142">
        <f t="shared" ref="D28:M28" si="8">SUM(D29:D34)</f>
        <v>72670565</v>
      </c>
      <c r="E28" s="142">
        <f t="shared" si="8"/>
        <v>70301635</v>
      </c>
      <c r="F28" s="142">
        <f t="shared" si="8"/>
        <v>69790692</v>
      </c>
      <c r="G28" s="142">
        <f t="shared" si="8"/>
        <v>66918284</v>
      </c>
      <c r="H28" s="142">
        <f t="shared" si="8"/>
        <v>68866460</v>
      </c>
      <c r="I28" s="142">
        <f t="shared" si="8"/>
        <v>173885212</v>
      </c>
      <c r="J28" s="142">
        <f t="shared" si="8"/>
        <v>96020974</v>
      </c>
      <c r="K28" s="142">
        <f t="shared" si="8"/>
        <v>44314625</v>
      </c>
      <c r="L28" s="142">
        <f t="shared" si="8"/>
        <v>44314625</v>
      </c>
      <c r="M28" s="142">
        <f t="shared" si="8"/>
        <v>44314625</v>
      </c>
      <c r="N28" s="142">
        <f t="shared" ref="N28" si="9">SUM(N29:N34)</f>
        <v>44314625</v>
      </c>
    </row>
    <row r="29" spans="2:14" ht="14.4" customHeight="1" x14ac:dyDescent="0.3">
      <c r="B29" s="148" t="s">
        <v>195</v>
      </c>
      <c r="C29" s="114">
        <v>23522506</v>
      </c>
      <c r="D29" s="114">
        <v>19479005</v>
      </c>
      <c r="E29" s="114">
        <v>18902263</v>
      </c>
      <c r="F29" s="114">
        <v>16784076</v>
      </c>
      <c r="G29" s="114">
        <v>15165027</v>
      </c>
      <c r="H29" s="114">
        <v>13748183</v>
      </c>
      <c r="I29" s="114">
        <v>21595404</v>
      </c>
      <c r="J29" s="114">
        <v>32303193</v>
      </c>
      <c r="K29" s="146">
        <v>32303193</v>
      </c>
      <c r="L29" s="146">
        <v>32303193</v>
      </c>
      <c r="M29" s="146">
        <v>32303193</v>
      </c>
      <c r="N29" s="146">
        <v>32303193</v>
      </c>
    </row>
    <row r="30" spans="2:14" ht="14.4" customHeight="1" x14ac:dyDescent="0.3">
      <c r="B30" s="148" t="s">
        <v>196</v>
      </c>
      <c r="C30" s="114">
        <v>3485042</v>
      </c>
      <c r="D30" s="114">
        <v>5909316</v>
      </c>
      <c r="E30" s="114">
        <v>4612329</v>
      </c>
      <c r="F30" s="114">
        <v>5848205</v>
      </c>
      <c r="G30" s="114">
        <v>5394433</v>
      </c>
      <c r="H30" s="114">
        <v>8643793</v>
      </c>
      <c r="I30" s="114">
        <v>12721427</v>
      </c>
      <c r="J30" s="114">
        <v>9186092</v>
      </c>
      <c r="K30" s="146">
        <v>9186092</v>
      </c>
      <c r="L30" s="146">
        <v>9186092</v>
      </c>
      <c r="M30" s="146">
        <v>9186092</v>
      </c>
      <c r="N30" s="146">
        <v>9186092</v>
      </c>
    </row>
    <row r="31" spans="2:14" ht="14.4" customHeight="1" x14ac:dyDescent="0.3">
      <c r="B31" s="148" t="s">
        <v>197</v>
      </c>
      <c r="C31" s="114">
        <v>0</v>
      </c>
      <c r="D31" s="114">
        <v>0</v>
      </c>
      <c r="E31" s="114">
        <v>0</v>
      </c>
      <c r="F31" s="114">
        <v>0</v>
      </c>
      <c r="G31" s="114">
        <v>0</v>
      </c>
      <c r="H31" s="114">
        <v>0</v>
      </c>
      <c r="I31" s="114">
        <v>2700023</v>
      </c>
      <c r="J31" s="114">
        <v>2825340</v>
      </c>
      <c r="K31" s="146">
        <v>2825340</v>
      </c>
      <c r="L31" s="146">
        <v>2825340</v>
      </c>
      <c r="M31" s="146">
        <v>2825340</v>
      </c>
      <c r="N31" s="146">
        <v>2825340</v>
      </c>
    </row>
    <row r="32" spans="2:14" ht="14.4" customHeight="1" x14ac:dyDescent="0.3">
      <c r="B32" s="148" t="s">
        <v>179</v>
      </c>
      <c r="C32" s="114">
        <v>0</v>
      </c>
      <c r="D32" s="114">
        <v>62500</v>
      </c>
      <c r="E32" s="114">
        <v>14877</v>
      </c>
      <c r="F32" s="114">
        <v>208667</v>
      </c>
      <c r="G32" s="114">
        <v>25572</v>
      </c>
      <c r="H32" s="114">
        <v>0</v>
      </c>
      <c r="I32" s="114">
        <v>0</v>
      </c>
      <c r="J32" s="114">
        <v>0</v>
      </c>
      <c r="K32" s="146">
        <v>0</v>
      </c>
      <c r="L32" s="146">
        <v>0</v>
      </c>
      <c r="M32" s="146">
        <v>0</v>
      </c>
      <c r="N32" s="146">
        <v>0</v>
      </c>
    </row>
    <row r="33" spans="1:14" ht="14.4" customHeight="1" x14ac:dyDescent="0.3">
      <c r="B33" s="148" t="s">
        <v>198</v>
      </c>
      <c r="C33" s="114">
        <v>659974</v>
      </c>
      <c r="D33" s="114">
        <v>530030</v>
      </c>
      <c r="E33" s="114">
        <v>0</v>
      </c>
      <c r="F33" s="114">
        <v>0</v>
      </c>
      <c r="G33" s="114">
        <v>0</v>
      </c>
      <c r="H33" s="114">
        <v>0</v>
      </c>
      <c r="I33" s="114">
        <v>0</v>
      </c>
      <c r="J33" s="114">
        <v>0</v>
      </c>
      <c r="K33" s="146">
        <v>0</v>
      </c>
      <c r="L33" s="146">
        <v>0</v>
      </c>
      <c r="M33" s="146">
        <v>0</v>
      </c>
      <c r="N33" s="146">
        <v>0</v>
      </c>
    </row>
    <row r="34" spans="1:14" ht="14.4" customHeight="1" x14ac:dyDescent="0.3">
      <c r="B34" s="148" t="s">
        <v>199</v>
      </c>
      <c r="C34" s="114">
        <v>77948823</v>
      </c>
      <c r="D34" s="114">
        <v>46689714</v>
      </c>
      <c r="E34" s="114">
        <v>46772166</v>
      </c>
      <c r="F34" s="114">
        <v>46949744</v>
      </c>
      <c r="G34" s="114">
        <v>46333252</v>
      </c>
      <c r="H34" s="114">
        <v>46474484</v>
      </c>
      <c r="I34" s="114">
        <v>136868358</v>
      </c>
      <c r="J34" s="114">
        <v>51706349</v>
      </c>
      <c r="K34" s="115"/>
      <c r="L34" s="115"/>
      <c r="M34" s="115"/>
      <c r="N34" s="115"/>
    </row>
    <row r="35" spans="1:14" ht="14.4" customHeight="1" x14ac:dyDescent="0.3">
      <c r="B35" s="150"/>
      <c r="C35" s="114"/>
      <c r="D35" s="114"/>
      <c r="E35" s="114"/>
      <c r="F35" s="114"/>
      <c r="G35" s="114"/>
      <c r="H35" s="114"/>
      <c r="I35" s="114"/>
      <c r="J35" s="124"/>
      <c r="K35" s="124"/>
      <c r="L35" s="124"/>
      <c r="M35" s="124"/>
      <c r="N35" s="124"/>
    </row>
    <row r="36" spans="1:14" ht="14.4" customHeight="1" x14ac:dyDescent="0.3">
      <c r="B36" s="121" t="s">
        <v>200</v>
      </c>
      <c r="C36" s="121">
        <f t="shared" ref="C36:M36" si="10">C23+C28</f>
        <v>720982900</v>
      </c>
      <c r="D36" s="121">
        <f t="shared" si="10"/>
        <v>671672693</v>
      </c>
      <c r="E36" s="121">
        <f t="shared" si="10"/>
        <v>657650570</v>
      </c>
      <c r="F36" s="121">
        <f t="shared" si="10"/>
        <v>654820513</v>
      </c>
      <c r="G36" s="121">
        <f t="shared" si="10"/>
        <v>637286975</v>
      </c>
      <c r="H36" s="121">
        <f t="shared" si="10"/>
        <v>627553502</v>
      </c>
      <c r="I36" s="121">
        <f t="shared" si="10"/>
        <v>721762306</v>
      </c>
      <c r="J36" s="121">
        <f t="shared" si="10"/>
        <v>771744193</v>
      </c>
      <c r="K36" s="121">
        <f t="shared" si="10"/>
        <v>758817605.75</v>
      </c>
      <c r="L36" s="121">
        <f t="shared" si="10"/>
        <v>745891018.5</v>
      </c>
      <c r="M36" s="121">
        <f t="shared" si="10"/>
        <v>732964431.25</v>
      </c>
      <c r="N36" s="121">
        <f t="shared" ref="N36" si="11">N23+N28</f>
        <v>720037844</v>
      </c>
    </row>
    <row r="37" spans="1:14" ht="14.4" customHeight="1" x14ac:dyDescent="0.3">
      <c r="B37" s="72"/>
      <c r="C37" s="72"/>
      <c r="D37" s="72"/>
    </row>
    <row r="38" spans="1:14" ht="14.4" customHeight="1" x14ac:dyDescent="0.3">
      <c r="B38" s="121" t="s">
        <v>201</v>
      </c>
      <c r="C38" s="121">
        <v>408132148</v>
      </c>
      <c r="D38" s="121">
        <v>410426916</v>
      </c>
      <c r="E38" s="121">
        <v>411714912</v>
      </c>
      <c r="F38" s="121">
        <v>428299706</v>
      </c>
      <c r="G38" s="121">
        <v>429814403</v>
      </c>
      <c r="H38" s="121">
        <v>573091238</v>
      </c>
      <c r="I38" s="121">
        <v>725289859</v>
      </c>
      <c r="J38" s="121">
        <v>877511797</v>
      </c>
      <c r="K38" s="121">
        <f>J38+'P&amp;L'!K30+CashFlow!K50+CashFlow!K54+CashFlow!K53</f>
        <v>914373915.25</v>
      </c>
      <c r="L38" s="121">
        <f>K38+'P&amp;L'!L30+CashFlow!L50+CashFlow!L54+CashFlow!L53</f>
        <v>891260715.25</v>
      </c>
      <c r="M38" s="121">
        <f>L38+'P&amp;L'!M30+CashFlow!M50+CashFlow!M54+CashFlow!M53</f>
        <v>840201555.25</v>
      </c>
      <c r="N38" s="121">
        <f>M38+'P&amp;L'!N30+CashFlow!N50+CashFlow!N54+CashFlow!N53</f>
        <v>799354227.25</v>
      </c>
    </row>
    <row r="40" spans="1:14" ht="14.4" customHeight="1" x14ac:dyDescent="0.3">
      <c r="B40" s="121" t="s">
        <v>202</v>
      </c>
      <c r="C40" s="121">
        <f t="shared" ref="C40:M40" si="12">C38+C36</f>
        <v>1129115048</v>
      </c>
      <c r="D40" s="121">
        <f t="shared" si="12"/>
        <v>1082099609</v>
      </c>
      <c r="E40" s="121">
        <f t="shared" si="12"/>
        <v>1069365482</v>
      </c>
      <c r="F40" s="121">
        <f t="shared" si="12"/>
        <v>1083120219</v>
      </c>
      <c r="G40" s="121">
        <f t="shared" si="12"/>
        <v>1067101378</v>
      </c>
      <c r="H40" s="121">
        <f t="shared" si="12"/>
        <v>1200644740</v>
      </c>
      <c r="I40" s="121">
        <f t="shared" si="12"/>
        <v>1447052165</v>
      </c>
      <c r="J40" s="121">
        <f t="shared" si="12"/>
        <v>1649255990</v>
      </c>
      <c r="K40" s="121">
        <f t="shared" si="12"/>
        <v>1673191521</v>
      </c>
      <c r="L40" s="121">
        <f t="shared" si="12"/>
        <v>1637151733.75</v>
      </c>
      <c r="M40" s="121">
        <f t="shared" si="12"/>
        <v>1573165986.5</v>
      </c>
      <c r="N40" s="121">
        <f t="shared" ref="N40" si="13">N38+N36</f>
        <v>1519392071.25</v>
      </c>
    </row>
    <row r="41" spans="1:14" ht="14.4" customHeight="1" x14ac:dyDescent="0.3">
      <c r="B41" s="107" t="s">
        <v>203</v>
      </c>
      <c r="C41" s="107">
        <f t="shared" ref="C41:M41" si="14">C20-C40</f>
        <v>0</v>
      </c>
      <c r="D41" s="107">
        <f t="shared" si="14"/>
        <v>0</v>
      </c>
      <c r="E41" s="107">
        <f t="shared" si="14"/>
        <v>0</v>
      </c>
      <c r="F41" s="124">
        <f t="shared" si="14"/>
        <v>0</v>
      </c>
      <c r="G41" s="107">
        <f t="shared" si="14"/>
        <v>0</v>
      </c>
      <c r="H41" s="107">
        <f t="shared" si="14"/>
        <v>0</v>
      </c>
      <c r="I41" s="107">
        <f t="shared" si="14"/>
        <v>0</v>
      </c>
      <c r="J41" s="107">
        <f t="shared" si="14"/>
        <v>0</v>
      </c>
      <c r="K41" s="107">
        <f t="shared" si="14"/>
        <v>0</v>
      </c>
      <c r="L41" s="107">
        <f t="shared" si="14"/>
        <v>0</v>
      </c>
      <c r="M41" s="107">
        <f t="shared" si="14"/>
        <v>0</v>
      </c>
      <c r="N41" s="107">
        <f t="shared" ref="N41" si="15">N20-N40</f>
        <v>0</v>
      </c>
    </row>
    <row r="44" spans="1:14" ht="14.4" customHeight="1" x14ac:dyDescent="0.3">
      <c r="A44" s="141" t="s">
        <v>171</v>
      </c>
      <c r="B44" s="100" t="s">
        <v>204</v>
      </c>
      <c r="C44" s="101"/>
      <c r="D44" s="101"/>
      <c r="E44" s="101"/>
      <c r="F44" s="101"/>
      <c r="G44" s="101"/>
      <c r="H44" s="101"/>
      <c r="I44" s="101"/>
      <c r="J44" s="101"/>
      <c r="K44" s="102"/>
      <c r="L44" s="102"/>
      <c r="M44" s="102"/>
      <c r="N44" s="102"/>
    </row>
    <row r="45" spans="1:14" ht="14.4" customHeight="1" x14ac:dyDescent="0.3">
      <c r="B45" t="s">
        <v>82</v>
      </c>
      <c r="C45" s="124">
        <f t="shared" ref="C45:M45" si="16">C24+C25+C34</f>
        <v>693315378</v>
      </c>
      <c r="D45" s="124">
        <f t="shared" si="16"/>
        <v>645691842</v>
      </c>
      <c r="E45" s="124">
        <f t="shared" si="16"/>
        <v>634121101</v>
      </c>
      <c r="F45" s="124">
        <f t="shared" si="16"/>
        <v>630947676</v>
      </c>
      <c r="G45" s="124">
        <f t="shared" si="16"/>
        <v>616701943</v>
      </c>
      <c r="H45" s="124">
        <f t="shared" si="16"/>
        <v>605161526</v>
      </c>
      <c r="I45" s="124">
        <f t="shared" si="16"/>
        <v>683148961</v>
      </c>
      <c r="J45" s="124">
        <f t="shared" si="16"/>
        <v>722555412</v>
      </c>
      <c r="K45" s="124">
        <f t="shared" si="16"/>
        <v>709628824.75</v>
      </c>
      <c r="L45" s="124">
        <f t="shared" si="16"/>
        <v>696702237.5</v>
      </c>
      <c r="M45" s="124">
        <f t="shared" si="16"/>
        <v>683775650.25</v>
      </c>
      <c r="N45" s="124">
        <f t="shared" ref="N45" si="17">N24+N25+N34</f>
        <v>670849063</v>
      </c>
    </row>
    <row r="46" spans="1:14" ht="14.4" customHeight="1" x14ac:dyDescent="0.3">
      <c r="B46" s="151" t="s">
        <v>205</v>
      </c>
      <c r="C46" s="152"/>
      <c r="D46" s="152">
        <f>D45/C45-1</f>
        <v>-6.8689571169442631E-2</v>
      </c>
      <c r="E46" s="152">
        <f t="shared" ref="E46:N46" si="18">E45/D45-1</f>
        <v>-1.7919912018959705E-2</v>
      </c>
      <c r="F46" s="152">
        <f t="shared" si="18"/>
        <v>-5.0044463037037801E-3</v>
      </c>
      <c r="G46" s="152">
        <f t="shared" si="18"/>
        <v>-2.2578311232261394E-2</v>
      </c>
      <c r="H46" s="152">
        <f t="shared" si="18"/>
        <v>-1.8713119248271903E-2</v>
      </c>
      <c r="I46" s="152">
        <f t="shared" si="18"/>
        <v>0.12887044474800269</v>
      </c>
      <c r="J46" s="152">
        <f t="shared" si="18"/>
        <v>5.7683540852227155E-2</v>
      </c>
      <c r="K46" s="152">
        <f t="shared" si="18"/>
        <v>-1.7890098164540458E-2</v>
      </c>
      <c r="L46" s="152">
        <f t="shared" si="18"/>
        <v>-1.8215983904760313E-2</v>
      </c>
      <c r="M46" s="152">
        <f t="shared" si="18"/>
        <v>-1.8553962588644612E-2</v>
      </c>
      <c r="N46" s="152">
        <f t="shared" si="18"/>
        <v>-1.8904720057337232E-2</v>
      </c>
    </row>
    <row r="47" spans="1:14" ht="14.4" customHeight="1" x14ac:dyDescent="0.3">
      <c r="B47" t="s">
        <v>206</v>
      </c>
      <c r="C47" s="124">
        <f>C45-C8-C18-C17-C16</f>
        <v>638198762</v>
      </c>
      <c r="D47" s="124">
        <f>D45-D8-D18-D17</f>
        <v>591403251</v>
      </c>
      <c r="E47" s="124">
        <f>E45-E8-E18-E17</f>
        <v>591119162</v>
      </c>
      <c r="F47" s="124">
        <f>F45-F8-F18-F17</f>
        <v>565611885</v>
      </c>
      <c r="G47" s="124">
        <f>G45-G8-G18-G17</f>
        <v>558514424</v>
      </c>
      <c r="H47" s="124">
        <f>H45-H8-H18-H17</f>
        <v>482615542</v>
      </c>
      <c r="I47" s="124">
        <f>I45-I17-I18-I8</f>
        <v>506629262</v>
      </c>
      <c r="J47" s="124">
        <f>J45-J8-J18-J17</f>
        <v>474748509</v>
      </c>
      <c r="K47" s="124">
        <f>K45-K8-K18-K17</f>
        <v>504318093.75</v>
      </c>
      <c r="L47" s="124">
        <f>L45-L8-L18-L17</f>
        <v>514696255.75</v>
      </c>
      <c r="M47" s="124">
        <f>M45-M8-M18-M17</f>
        <v>553020377.75</v>
      </c>
      <c r="N47" s="124">
        <f>N45-N8-N18-N17</f>
        <v>581132667.75</v>
      </c>
    </row>
    <row r="48" spans="1:14" ht="14.4" customHeight="1" x14ac:dyDescent="0.3">
      <c r="B48" s="151" t="s">
        <v>207</v>
      </c>
      <c r="C48" s="152"/>
      <c r="D48" s="152"/>
    </row>
    <row r="49" spans="1:14" ht="14.4" customHeight="1" x14ac:dyDescent="0.3">
      <c r="B49"/>
      <c r="C49" s="153"/>
      <c r="D49" s="153"/>
    </row>
    <row r="50" spans="1:14" ht="14.4" customHeight="1" x14ac:dyDescent="0.3">
      <c r="B50"/>
      <c r="C50" s="153"/>
      <c r="D50" s="153"/>
    </row>
    <row r="51" spans="1:14" ht="14.4" customHeight="1" x14ac:dyDescent="0.3">
      <c r="A51" s="141" t="s">
        <v>171</v>
      </c>
      <c r="B51" s="100" t="s">
        <v>87</v>
      </c>
      <c r="C51" s="101"/>
      <c r="D51" s="101"/>
      <c r="E51" s="101"/>
      <c r="F51" s="101"/>
      <c r="G51" s="101"/>
      <c r="H51" s="101"/>
      <c r="I51" s="101"/>
      <c r="J51" s="101"/>
      <c r="K51" s="102"/>
      <c r="L51" s="102"/>
      <c r="M51" s="102"/>
      <c r="N51" s="102"/>
    </row>
    <row r="52" spans="1:14" ht="14.4" customHeight="1" x14ac:dyDescent="0.3">
      <c r="B52"/>
      <c r="C52" s="153"/>
      <c r="D52" s="153"/>
    </row>
    <row r="53" spans="1:14" ht="14.4" customHeight="1" x14ac:dyDescent="0.3">
      <c r="B53" s="154" t="s">
        <v>87</v>
      </c>
      <c r="C53" s="155">
        <f t="shared" ref="C53:M53" si="19">C11+C12+C13+C14+C15+C16+C4-C29-C30-C31-C32-C33</f>
        <v>58404851</v>
      </c>
      <c r="D53" s="155">
        <f t="shared" si="19"/>
        <v>43152441</v>
      </c>
      <c r="E53" s="155">
        <f t="shared" si="19"/>
        <v>53679363</v>
      </c>
      <c r="F53" s="155">
        <f t="shared" si="19"/>
        <v>53166543</v>
      </c>
      <c r="G53" s="155">
        <f t="shared" si="19"/>
        <v>59440688</v>
      </c>
      <c r="H53" s="155">
        <f t="shared" si="19"/>
        <v>133410631</v>
      </c>
      <c r="I53" s="155">
        <f t="shared" si="19"/>
        <v>127027278</v>
      </c>
      <c r="J53" s="155">
        <f t="shared" si="19"/>
        <v>159992673</v>
      </c>
      <c r="K53" s="155">
        <f t="shared" si="19"/>
        <v>139859414</v>
      </c>
      <c r="L53" s="155">
        <f t="shared" si="19"/>
        <v>139859414</v>
      </c>
      <c r="M53" s="155">
        <f t="shared" si="19"/>
        <v>139859414</v>
      </c>
      <c r="N53" s="155">
        <f t="shared" ref="N53" si="20">N11+N12+N13+N14+N15+N16+N4-N29-N30-N31-N32-N33</f>
        <v>139859414</v>
      </c>
    </row>
    <row r="54" spans="1:14" ht="14.4" customHeight="1" x14ac:dyDescent="0.3">
      <c r="B54" s="151" t="s">
        <v>208</v>
      </c>
      <c r="C54" s="156"/>
      <c r="D54" s="156">
        <f t="shared" ref="D54:N54" si="21">D53/C53-1</f>
        <v>-0.26114971169090051</v>
      </c>
      <c r="E54" s="156">
        <f t="shared" si="21"/>
        <v>0.24394731227371347</v>
      </c>
      <c r="F54" s="156">
        <f t="shared" si="21"/>
        <v>-9.5533920549690787E-3</v>
      </c>
      <c r="G54" s="156">
        <f t="shared" si="21"/>
        <v>0.11800927135698847</v>
      </c>
      <c r="H54" s="156">
        <f t="shared" si="21"/>
        <v>1.2444328201584747</v>
      </c>
      <c r="I54" s="156">
        <f t="shared" si="21"/>
        <v>-4.7847408802076608E-2</v>
      </c>
      <c r="J54" s="156">
        <f t="shared" si="21"/>
        <v>0.25951429896813183</v>
      </c>
      <c r="K54" s="156">
        <f t="shared" si="21"/>
        <v>-0.12583863137282547</v>
      </c>
      <c r="L54" s="156">
        <f t="shared" si="21"/>
        <v>0</v>
      </c>
      <c r="M54" s="156">
        <f t="shared" si="21"/>
        <v>0</v>
      </c>
      <c r="N54" s="156">
        <f t="shared" si="21"/>
        <v>0</v>
      </c>
    </row>
    <row r="55" spans="1:14" ht="14.4" customHeight="1" x14ac:dyDescent="0.3">
      <c r="B55" s="157"/>
      <c r="C55" s="156"/>
      <c r="D55" s="156"/>
    </row>
    <row r="57" spans="1:14" ht="14.4" customHeight="1" x14ac:dyDescent="0.3">
      <c r="A57" s="141" t="s">
        <v>171</v>
      </c>
      <c r="B57" s="100" t="s">
        <v>209</v>
      </c>
      <c r="C57" s="101"/>
      <c r="D57" s="101"/>
      <c r="E57" s="101"/>
      <c r="F57" s="101"/>
      <c r="G57" s="101"/>
      <c r="H57" s="101"/>
      <c r="I57" s="101"/>
      <c r="J57" s="101"/>
      <c r="K57" s="102"/>
      <c r="L57" s="102"/>
      <c r="M57" s="102"/>
      <c r="N57" s="102"/>
    </row>
    <row r="58" spans="1:14" ht="14.4" customHeight="1" x14ac:dyDescent="0.3">
      <c r="B58" s="107" t="s">
        <v>209</v>
      </c>
      <c r="J58" s="114"/>
      <c r="K58" s="158">
        <f>99300000</f>
        <v>99300000</v>
      </c>
      <c r="L58" s="159">
        <v>0</v>
      </c>
      <c r="M58" s="159">
        <v>0</v>
      </c>
      <c r="N58" s="159">
        <v>0</v>
      </c>
    </row>
  </sheetData>
  <pageMargins left="0.7" right="0.7" top="0.75" bottom="0.75" header="0.3" footer="0.3"/>
  <pageSetup paperSize="9" orientation="portrait" horizontalDpi="0" verticalDpi="0"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G65"/>
  <sheetViews>
    <sheetView showGridLines="0" zoomScale="85" zoomScaleNormal="85" workbookViewId="0">
      <pane xSplit="2" ySplit="1" topLeftCell="C2" activePane="bottomRight" state="frozen"/>
      <selection pane="topRight" activeCell="C1" sqref="C1"/>
      <selection pane="bottomLeft" activeCell="A2" sqref="A2"/>
      <selection pane="bottomRight" activeCell="N2" sqref="N2"/>
    </sheetView>
  </sheetViews>
  <sheetFormatPr baseColWidth="10" defaultColWidth="12.77734375" defaultRowHeight="14.4" customHeight="1" outlineLevelCol="1" x14ac:dyDescent="0.3"/>
  <cols>
    <col min="1" max="1" width="2.77734375" style="141" customWidth="1"/>
    <col min="2" max="2" width="46.33203125" style="107" bestFit="1" customWidth="1"/>
    <col min="3" max="8" width="0" style="107" hidden="1" customWidth="1" outlineLevel="1"/>
    <col min="9" max="9" width="12.77734375" style="107" collapsed="1"/>
    <col min="10" max="16384" width="12.77734375" style="107"/>
  </cols>
  <sheetData>
    <row r="1" spans="1:267" customFormat="1" ht="14.4" customHeight="1" x14ac:dyDescent="0.3">
      <c r="A1" s="30"/>
      <c r="B1" s="100" t="s">
        <v>133</v>
      </c>
      <c r="C1" s="101">
        <v>2023</v>
      </c>
      <c r="D1" s="101">
        <v>2024</v>
      </c>
      <c r="E1" s="101" t="s">
        <v>134</v>
      </c>
      <c r="F1" s="101" t="s">
        <v>135</v>
      </c>
      <c r="G1" s="101" t="s">
        <v>136</v>
      </c>
      <c r="H1" s="101" t="s">
        <v>137</v>
      </c>
      <c r="I1" s="101" t="s">
        <v>73</v>
      </c>
      <c r="J1" s="101" t="s">
        <v>74</v>
      </c>
      <c r="K1" s="102" t="s">
        <v>75</v>
      </c>
      <c r="L1" s="102" t="s">
        <v>76</v>
      </c>
      <c r="M1" s="102" t="s">
        <v>77</v>
      </c>
      <c r="N1" s="102" t="s">
        <v>277</v>
      </c>
      <c r="O1" s="140"/>
      <c r="P1" s="140"/>
      <c r="Q1" s="140"/>
      <c r="R1" s="140"/>
      <c r="S1" s="140"/>
      <c r="T1" s="140"/>
      <c r="U1" s="140"/>
      <c r="V1" s="140"/>
      <c r="W1" s="140"/>
      <c r="X1" s="140"/>
      <c r="Y1" s="140"/>
      <c r="Z1" s="140"/>
      <c r="AA1" s="140"/>
      <c r="AB1" s="140"/>
      <c r="AC1" s="140"/>
      <c r="AD1" s="140"/>
      <c r="AE1" s="140"/>
      <c r="AF1" s="140"/>
      <c r="AG1" s="140"/>
      <c r="AH1" s="140"/>
      <c r="AI1" s="140"/>
      <c r="AJ1" s="140"/>
      <c r="AK1" s="140"/>
      <c r="AL1" s="140"/>
      <c r="AM1" s="140"/>
      <c r="AN1" s="140"/>
      <c r="AO1" s="140"/>
      <c r="AP1" s="140"/>
      <c r="AQ1" s="140"/>
      <c r="AR1" s="140"/>
      <c r="AS1" s="140"/>
      <c r="AT1" s="140"/>
      <c r="AU1" s="140"/>
      <c r="AV1" s="140"/>
      <c r="AW1" s="140"/>
      <c r="AX1" s="140"/>
      <c r="AY1" s="140"/>
      <c r="AZ1" s="140"/>
      <c r="BA1" s="140"/>
      <c r="BB1" s="140"/>
      <c r="BC1" s="140"/>
      <c r="BD1" s="140"/>
      <c r="BE1" s="140"/>
      <c r="BF1" s="140"/>
      <c r="BG1" s="140"/>
      <c r="BH1" s="140"/>
      <c r="BI1" s="140"/>
      <c r="BJ1" s="140"/>
      <c r="BK1" s="140"/>
      <c r="BL1" s="140"/>
      <c r="BM1" s="140"/>
      <c r="BN1" s="140"/>
      <c r="BO1" s="140"/>
      <c r="BP1" s="140"/>
      <c r="BQ1" s="140"/>
      <c r="BR1" s="140"/>
      <c r="BS1" s="140"/>
      <c r="BT1" s="140"/>
      <c r="BU1" s="140"/>
      <c r="BV1" s="140"/>
      <c r="BW1" s="140"/>
      <c r="BX1" s="140"/>
      <c r="BY1" s="140"/>
      <c r="BZ1" s="140"/>
      <c r="CA1" s="140"/>
      <c r="CB1" s="140"/>
      <c r="CC1" s="140"/>
      <c r="CD1" s="140"/>
      <c r="CE1" s="140"/>
      <c r="CF1" s="140"/>
      <c r="CG1" s="140"/>
      <c r="CH1" s="140"/>
      <c r="CI1" s="140"/>
      <c r="CJ1" s="140"/>
      <c r="CK1" s="140"/>
      <c r="CL1" s="140"/>
      <c r="CM1" s="140"/>
      <c r="CN1" s="140"/>
      <c r="CO1" s="140"/>
      <c r="CP1" s="140"/>
      <c r="CQ1" s="140"/>
      <c r="CR1" s="140"/>
      <c r="CS1" s="140"/>
      <c r="CT1" s="140"/>
      <c r="CU1" s="140"/>
      <c r="CV1" s="140"/>
      <c r="CW1" s="140"/>
      <c r="CX1" s="140"/>
      <c r="CY1" s="140"/>
      <c r="CZ1" s="140"/>
      <c r="DA1" s="140"/>
      <c r="DB1" s="140"/>
      <c r="DC1" s="140"/>
      <c r="DD1" s="140"/>
      <c r="DE1" s="140"/>
      <c r="DF1" s="140"/>
      <c r="DG1" s="140"/>
      <c r="DH1" s="140"/>
      <c r="DI1" s="140"/>
      <c r="DJ1" s="140"/>
      <c r="DK1" s="140"/>
      <c r="DL1" s="140"/>
      <c r="DM1" s="140"/>
      <c r="DN1" s="140"/>
      <c r="DO1" s="140"/>
      <c r="DP1" s="140"/>
      <c r="DQ1" s="140"/>
      <c r="DR1" s="140"/>
      <c r="DS1" s="140"/>
      <c r="DT1" s="140"/>
      <c r="DU1" s="140"/>
      <c r="DV1" s="140"/>
      <c r="DW1" s="140"/>
      <c r="DX1" s="140"/>
      <c r="DY1" s="140"/>
      <c r="DZ1" s="140"/>
      <c r="EA1" s="140"/>
      <c r="EB1" s="140"/>
      <c r="EC1" s="140"/>
      <c r="ED1" s="140"/>
      <c r="EE1" s="140"/>
      <c r="EF1" s="140"/>
      <c r="EG1" s="140"/>
      <c r="EH1" s="140"/>
      <c r="EI1" s="140"/>
      <c r="EJ1" s="140"/>
      <c r="EK1" s="140"/>
      <c r="EL1" s="140"/>
      <c r="EM1" s="140"/>
      <c r="EN1" s="140"/>
      <c r="EO1" s="140"/>
      <c r="EP1" s="140"/>
      <c r="EQ1" s="140"/>
      <c r="ER1" s="140"/>
      <c r="ES1" s="140"/>
      <c r="ET1" s="140"/>
      <c r="EU1" s="140"/>
      <c r="EV1" s="140"/>
      <c r="EW1" s="140"/>
      <c r="EX1" s="140"/>
      <c r="EY1" s="140"/>
      <c r="EZ1" s="140"/>
      <c r="FA1" s="140"/>
      <c r="FB1" s="140"/>
      <c r="FC1" s="140"/>
      <c r="FD1" s="140"/>
      <c r="FE1" s="140"/>
      <c r="FF1" s="140"/>
      <c r="FG1" s="140"/>
      <c r="FH1" s="140"/>
      <c r="FI1" s="140"/>
      <c r="FJ1" s="140"/>
      <c r="FK1" s="140"/>
      <c r="FL1" s="140"/>
      <c r="FM1" s="140"/>
      <c r="FN1" s="140"/>
      <c r="FO1" s="140"/>
      <c r="FP1" s="140"/>
      <c r="FQ1" s="140"/>
      <c r="FR1" s="140"/>
      <c r="FS1" s="140"/>
      <c r="FT1" s="140"/>
      <c r="FU1" s="140"/>
      <c r="FV1" s="140"/>
      <c r="FW1" s="140"/>
      <c r="FX1" s="140"/>
      <c r="FY1" s="140"/>
      <c r="FZ1" s="140"/>
      <c r="GA1" s="140"/>
      <c r="GB1" s="140"/>
      <c r="GC1" s="140"/>
      <c r="GD1" s="140"/>
      <c r="GE1" s="140"/>
      <c r="GF1" s="140"/>
      <c r="GG1" s="140"/>
      <c r="GH1" s="140"/>
      <c r="GI1" s="140"/>
      <c r="GJ1" s="140"/>
      <c r="GK1" s="140"/>
      <c r="GL1" s="140"/>
      <c r="GM1" s="140"/>
      <c r="GN1" s="140"/>
      <c r="GO1" s="140"/>
      <c r="GP1" s="140"/>
      <c r="GQ1" s="140"/>
      <c r="GR1" s="140"/>
      <c r="GS1" s="140"/>
      <c r="GT1" s="140"/>
      <c r="GU1" s="140"/>
      <c r="GV1" s="140"/>
      <c r="GW1" s="140"/>
      <c r="GX1" s="140"/>
      <c r="GY1" s="140"/>
      <c r="GZ1" s="140"/>
      <c r="HA1" s="140"/>
      <c r="HB1" s="140"/>
      <c r="HC1" s="140"/>
      <c r="HD1" s="140"/>
      <c r="HE1" s="140"/>
      <c r="HF1" s="140"/>
      <c r="HG1" s="140"/>
      <c r="HH1" s="140"/>
      <c r="HI1" s="140"/>
      <c r="HJ1" s="140"/>
      <c r="HK1" s="140"/>
      <c r="HL1" s="140"/>
      <c r="HM1" s="140"/>
      <c r="HN1" s="140"/>
      <c r="HO1" s="140"/>
      <c r="HP1" s="140"/>
      <c r="HQ1" s="140"/>
      <c r="HR1" s="140"/>
      <c r="HS1" s="140"/>
      <c r="HT1" s="140"/>
      <c r="HU1" s="140"/>
      <c r="HV1" s="140"/>
      <c r="HW1" s="140"/>
      <c r="HX1" s="140"/>
      <c r="HY1" s="140"/>
      <c r="HZ1" s="140"/>
      <c r="IA1" s="140"/>
      <c r="IB1" s="140"/>
      <c r="IC1" s="140"/>
      <c r="ID1" s="140"/>
      <c r="IE1" s="140"/>
      <c r="IF1" s="140"/>
      <c r="IG1" s="140"/>
      <c r="IH1" s="140"/>
      <c r="II1" s="140"/>
      <c r="IJ1" s="140"/>
      <c r="IK1" s="140"/>
      <c r="IL1" s="140"/>
      <c r="IM1" s="140"/>
      <c r="IN1" s="140"/>
      <c r="IO1" s="140"/>
      <c r="IP1" s="140"/>
      <c r="IQ1" s="140"/>
      <c r="IR1" s="140"/>
      <c r="IS1" s="140"/>
      <c r="IT1" s="140"/>
      <c r="IU1" s="140"/>
      <c r="IV1" s="140"/>
      <c r="IW1" s="140"/>
      <c r="IX1" s="140"/>
      <c r="IY1" s="140"/>
      <c r="IZ1" s="140"/>
      <c r="JA1" s="140"/>
      <c r="JB1" s="140"/>
      <c r="JC1" s="140"/>
      <c r="JD1" s="140"/>
      <c r="JE1" s="140"/>
      <c r="JF1" s="140"/>
      <c r="JG1" s="140"/>
    </row>
    <row r="2" spans="1:267" s="17" customFormat="1" ht="14.4" customHeight="1" x14ac:dyDescent="0.3">
      <c r="A2" s="54"/>
      <c r="B2" s="160"/>
      <c r="C2" s="161"/>
      <c r="D2" s="161"/>
      <c r="E2" s="161"/>
      <c r="F2" s="161"/>
      <c r="G2" s="161"/>
      <c r="H2" s="161"/>
      <c r="I2" s="161"/>
      <c r="J2" s="161"/>
      <c r="K2" s="161"/>
      <c r="L2" s="161"/>
      <c r="M2" s="161"/>
      <c r="N2" s="161"/>
      <c r="O2" s="162"/>
      <c r="P2" s="162"/>
      <c r="Q2" s="162"/>
      <c r="R2" s="162"/>
      <c r="S2" s="162"/>
      <c r="T2" s="162"/>
      <c r="U2" s="162"/>
      <c r="V2" s="162"/>
      <c r="W2" s="162"/>
      <c r="X2" s="162"/>
      <c r="Y2" s="162"/>
      <c r="Z2" s="162"/>
      <c r="AA2" s="162"/>
      <c r="AB2" s="162"/>
      <c r="AC2" s="162"/>
      <c r="AD2" s="162"/>
      <c r="AE2" s="162"/>
      <c r="AF2" s="162"/>
      <c r="AG2" s="162"/>
      <c r="AH2" s="162"/>
      <c r="AI2" s="162"/>
      <c r="AJ2" s="162"/>
      <c r="AK2" s="162"/>
      <c r="AL2" s="162"/>
      <c r="AM2" s="162"/>
      <c r="AN2" s="162"/>
      <c r="AO2" s="162"/>
      <c r="AP2" s="162"/>
      <c r="AQ2" s="162"/>
      <c r="AR2" s="162"/>
      <c r="AS2" s="162"/>
      <c r="AT2" s="162"/>
      <c r="AU2" s="162"/>
      <c r="AV2" s="162"/>
      <c r="AW2" s="162"/>
      <c r="AX2" s="162"/>
      <c r="AY2" s="162"/>
      <c r="AZ2" s="162"/>
      <c r="BA2" s="162"/>
      <c r="BB2" s="162"/>
      <c r="BC2" s="162"/>
      <c r="BD2" s="162"/>
      <c r="BE2" s="162"/>
      <c r="BF2" s="162"/>
      <c r="BG2" s="162"/>
      <c r="BH2" s="162"/>
      <c r="BI2" s="162"/>
      <c r="BJ2" s="162"/>
      <c r="BK2" s="162"/>
      <c r="BL2" s="162"/>
      <c r="BM2" s="162"/>
      <c r="BN2" s="162"/>
      <c r="BO2" s="162"/>
      <c r="BP2" s="162"/>
      <c r="BQ2" s="162"/>
      <c r="BR2" s="162"/>
      <c r="BS2" s="162"/>
      <c r="BT2" s="162"/>
      <c r="BU2" s="162"/>
      <c r="BV2" s="162"/>
      <c r="BW2" s="162"/>
      <c r="BX2" s="162"/>
      <c r="BY2" s="162"/>
      <c r="BZ2" s="162"/>
      <c r="CA2" s="162"/>
      <c r="CB2" s="162"/>
      <c r="CC2" s="162"/>
      <c r="CD2" s="162"/>
      <c r="CE2" s="162"/>
      <c r="CF2" s="162"/>
      <c r="CG2" s="162"/>
      <c r="CH2" s="162"/>
      <c r="CI2" s="162"/>
      <c r="CJ2" s="162"/>
      <c r="CK2" s="162"/>
      <c r="CL2" s="162"/>
      <c r="CM2" s="162"/>
      <c r="CN2" s="162"/>
      <c r="CO2" s="162"/>
      <c r="CP2" s="162"/>
      <c r="CQ2" s="162"/>
      <c r="CR2" s="162"/>
      <c r="CS2" s="162"/>
      <c r="CT2" s="162"/>
      <c r="CU2" s="162"/>
      <c r="CV2" s="162"/>
      <c r="CW2" s="162"/>
      <c r="CX2" s="162"/>
      <c r="CY2" s="162"/>
      <c r="CZ2" s="162"/>
      <c r="DA2" s="162"/>
      <c r="DB2" s="162"/>
      <c r="DC2" s="162"/>
      <c r="DD2" s="162"/>
      <c r="DE2" s="162"/>
      <c r="DF2" s="162"/>
      <c r="DG2" s="162"/>
      <c r="DH2" s="162"/>
      <c r="DI2" s="162"/>
      <c r="DJ2" s="162"/>
      <c r="DK2" s="162"/>
      <c r="DL2" s="162"/>
      <c r="DM2" s="162"/>
      <c r="DN2" s="162"/>
      <c r="DO2" s="162"/>
      <c r="DP2" s="162"/>
      <c r="DQ2" s="162"/>
      <c r="DR2" s="162"/>
      <c r="DS2" s="162"/>
      <c r="DT2" s="162"/>
      <c r="DU2" s="162"/>
      <c r="DV2" s="162"/>
      <c r="DW2" s="162"/>
      <c r="DX2" s="162"/>
      <c r="DY2" s="162"/>
      <c r="DZ2" s="162"/>
      <c r="EA2" s="162"/>
      <c r="EB2" s="162"/>
      <c r="EC2" s="162"/>
      <c r="ED2" s="162"/>
      <c r="EE2" s="162"/>
      <c r="EF2" s="162"/>
      <c r="EG2" s="162"/>
      <c r="EH2" s="162"/>
      <c r="EI2" s="162"/>
      <c r="EJ2" s="162"/>
      <c r="EK2" s="162"/>
      <c r="EL2" s="162"/>
      <c r="EM2" s="162"/>
      <c r="EN2" s="162"/>
      <c r="EO2" s="162"/>
      <c r="EP2" s="162"/>
      <c r="EQ2" s="162"/>
      <c r="ER2" s="162"/>
      <c r="ES2" s="162"/>
      <c r="ET2" s="162"/>
      <c r="EU2" s="162"/>
      <c r="EV2" s="162"/>
      <c r="EW2" s="162"/>
      <c r="EX2" s="162"/>
      <c r="EY2" s="162"/>
      <c r="EZ2" s="162"/>
      <c r="FA2" s="162"/>
      <c r="FB2" s="162"/>
      <c r="FC2" s="162"/>
      <c r="FD2" s="162"/>
      <c r="FE2" s="162"/>
      <c r="FF2" s="162"/>
      <c r="FG2" s="162"/>
      <c r="FH2" s="162"/>
      <c r="FI2" s="162"/>
      <c r="FJ2" s="162"/>
      <c r="FK2" s="162"/>
      <c r="FL2" s="162"/>
      <c r="FM2" s="162"/>
      <c r="FN2" s="162"/>
      <c r="FO2" s="162"/>
      <c r="FP2" s="162"/>
      <c r="FQ2" s="162"/>
      <c r="FR2" s="162"/>
      <c r="FS2" s="162"/>
      <c r="FT2" s="162"/>
      <c r="FU2" s="162"/>
      <c r="FV2" s="162"/>
      <c r="FW2" s="162"/>
      <c r="FX2" s="162"/>
      <c r="FY2" s="162"/>
      <c r="FZ2" s="162"/>
      <c r="GA2" s="162"/>
      <c r="GB2" s="162"/>
      <c r="GC2" s="162"/>
      <c r="GD2" s="162"/>
      <c r="GE2" s="162"/>
      <c r="GF2" s="162"/>
      <c r="GG2" s="162"/>
      <c r="GH2" s="162"/>
      <c r="GI2" s="162"/>
      <c r="GJ2" s="162"/>
      <c r="GK2" s="162"/>
      <c r="GL2" s="162"/>
      <c r="GM2" s="162"/>
      <c r="GN2" s="162"/>
      <c r="GO2" s="162"/>
      <c r="GP2" s="162"/>
      <c r="GQ2" s="162"/>
      <c r="GR2" s="162"/>
      <c r="GS2" s="162"/>
      <c r="GT2" s="162"/>
      <c r="GU2" s="162"/>
      <c r="GV2" s="162"/>
      <c r="GW2" s="162"/>
      <c r="GX2" s="162"/>
      <c r="GY2" s="162"/>
      <c r="GZ2" s="162"/>
      <c r="HA2" s="162"/>
      <c r="HB2" s="162"/>
      <c r="HC2" s="162"/>
      <c r="HD2" s="162"/>
      <c r="HE2" s="162"/>
      <c r="HF2" s="162"/>
      <c r="HG2" s="162"/>
      <c r="HH2" s="162"/>
      <c r="HI2" s="162"/>
      <c r="HJ2" s="162"/>
      <c r="HK2" s="162"/>
      <c r="HL2" s="162"/>
      <c r="HM2" s="162"/>
      <c r="HN2" s="162"/>
      <c r="HO2" s="162"/>
      <c r="HP2" s="162"/>
      <c r="HQ2" s="162"/>
      <c r="HR2" s="162"/>
      <c r="HS2" s="162"/>
      <c r="HT2" s="162"/>
      <c r="HU2" s="162"/>
      <c r="HV2" s="162"/>
      <c r="HW2" s="162"/>
      <c r="HX2" s="162"/>
      <c r="HY2" s="162"/>
      <c r="HZ2" s="162"/>
      <c r="IA2" s="162"/>
      <c r="IB2" s="162"/>
      <c r="IC2" s="162"/>
      <c r="ID2" s="162"/>
      <c r="IE2" s="162"/>
      <c r="IF2" s="162"/>
      <c r="IG2" s="162"/>
      <c r="IH2" s="162"/>
      <c r="II2" s="162"/>
      <c r="IJ2" s="162"/>
      <c r="IK2" s="162"/>
      <c r="IL2" s="162"/>
      <c r="IM2" s="162"/>
      <c r="IN2" s="162"/>
      <c r="IO2" s="162"/>
      <c r="IP2" s="162"/>
      <c r="IQ2" s="162"/>
      <c r="IR2" s="162"/>
      <c r="IS2" s="162"/>
      <c r="IT2" s="162"/>
      <c r="IU2" s="162"/>
      <c r="IV2" s="162"/>
      <c r="IW2" s="162"/>
      <c r="IX2" s="162"/>
      <c r="IY2" s="162"/>
      <c r="IZ2" s="162"/>
      <c r="JA2" s="162"/>
      <c r="JB2" s="162"/>
      <c r="JC2" s="162"/>
      <c r="JD2" s="162"/>
      <c r="JE2" s="162"/>
      <c r="JF2" s="162"/>
      <c r="JG2" s="162"/>
    </row>
    <row r="3" spans="1:267" s="20" customFormat="1" ht="14.4" customHeight="1" x14ac:dyDescent="0.3">
      <c r="A3" s="163"/>
      <c r="B3" s="164" t="s">
        <v>210</v>
      </c>
      <c r="C3" s="165"/>
      <c r="D3" s="165"/>
      <c r="E3" s="165"/>
      <c r="F3" s="165"/>
      <c r="G3" s="165"/>
      <c r="H3" s="165"/>
      <c r="I3" s="165"/>
      <c r="J3" s="165"/>
      <c r="K3" s="165"/>
      <c r="L3" s="165"/>
      <c r="M3" s="165"/>
      <c r="N3" s="165"/>
      <c r="O3" s="166"/>
      <c r="P3" s="166"/>
      <c r="Q3" s="166"/>
      <c r="R3" s="166"/>
      <c r="S3" s="166"/>
      <c r="T3" s="166"/>
      <c r="U3" s="166"/>
      <c r="V3" s="166"/>
      <c r="W3" s="166"/>
      <c r="X3" s="166"/>
      <c r="Y3" s="166"/>
      <c r="Z3" s="166"/>
      <c r="AA3" s="166"/>
      <c r="AB3" s="166"/>
      <c r="AC3" s="166"/>
      <c r="AD3" s="166"/>
      <c r="AE3" s="166"/>
      <c r="AF3" s="166"/>
      <c r="AG3" s="166"/>
      <c r="AH3" s="166"/>
      <c r="AI3" s="166"/>
      <c r="AJ3" s="166"/>
      <c r="AK3" s="166"/>
      <c r="AL3" s="166"/>
      <c r="AM3" s="166"/>
      <c r="AN3" s="166"/>
      <c r="AO3" s="166"/>
      <c r="AP3" s="166"/>
      <c r="AQ3" s="166"/>
      <c r="AR3" s="166"/>
      <c r="AS3" s="166"/>
      <c r="AT3" s="166"/>
      <c r="AU3" s="166"/>
      <c r="AV3" s="166"/>
      <c r="AW3" s="166"/>
      <c r="AX3" s="166"/>
      <c r="AY3" s="166"/>
      <c r="AZ3" s="166"/>
      <c r="BA3" s="166"/>
      <c r="BB3" s="166"/>
      <c r="BC3" s="166"/>
      <c r="BD3" s="166"/>
      <c r="BE3" s="166"/>
      <c r="BF3" s="166"/>
      <c r="BG3" s="166"/>
      <c r="BH3" s="166"/>
      <c r="BI3" s="166"/>
      <c r="BJ3" s="166"/>
      <c r="BK3" s="166"/>
      <c r="BL3" s="166"/>
      <c r="BM3" s="166"/>
      <c r="BN3" s="166"/>
      <c r="BO3" s="166"/>
      <c r="BP3" s="166"/>
      <c r="BQ3" s="166"/>
      <c r="BR3" s="166"/>
      <c r="BS3" s="166"/>
      <c r="BT3" s="166"/>
      <c r="BU3" s="166"/>
      <c r="BV3" s="166"/>
      <c r="BW3" s="166"/>
      <c r="BX3" s="166"/>
      <c r="BY3" s="166"/>
      <c r="BZ3" s="166"/>
      <c r="CA3" s="166"/>
      <c r="CB3" s="166"/>
      <c r="CC3" s="166"/>
      <c r="CD3" s="166"/>
      <c r="CE3" s="166"/>
      <c r="CF3" s="166"/>
      <c r="CG3" s="166"/>
      <c r="CH3" s="166"/>
      <c r="CI3" s="166"/>
      <c r="CJ3" s="166"/>
      <c r="CK3" s="166"/>
      <c r="CL3" s="166"/>
      <c r="CM3" s="166"/>
      <c r="CN3" s="166"/>
      <c r="CO3" s="166"/>
      <c r="CP3" s="166"/>
      <c r="CQ3" s="166"/>
      <c r="CR3" s="166"/>
      <c r="CS3" s="166"/>
      <c r="CT3" s="166"/>
      <c r="CU3" s="166"/>
      <c r="CV3" s="166"/>
      <c r="CW3" s="166"/>
      <c r="CX3" s="166"/>
      <c r="CY3" s="166"/>
      <c r="CZ3" s="166"/>
      <c r="DA3" s="166"/>
      <c r="DB3" s="166"/>
      <c r="DC3" s="166"/>
      <c r="DD3" s="166"/>
      <c r="DE3" s="166"/>
      <c r="DF3" s="166"/>
      <c r="DG3" s="166"/>
      <c r="DH3" s="166"/>
      <c r="DI3" s="166"/>
      <c r="DJ3" s="166"/>
      <c r="DK3" s="166"/>
      <c r="DL3" s="166"/>
      <c r="DM3" s="166"/>
      <c r="DN3" s="166"/>
      <c r="DO3" s="166"/>
      <c r="DP3" s="166"/>
      <c r="DQ3" s="166"/>
      <c r="DR3" s="166"/>
      <c r="DS3" s="166"/>
      <c r="DT3" s="166"/>
      <c r="DU3" s="166"/>
      <c r="DV3" s="166"/>
      <c r="DW3" s="166"/>
      <c r="DX3" s="166"/>
      <c r="DY3" s="166"/>
      <c r="DZ3" s="166"/>
      <c r="EA3" s="166"/>
      <c r="EB3" s="166"/>
      <c r="EC3" s="166"/>
      <c r="ED3" s="166"/>
      <c r="EE3" s="166"/>
      <c r="EF3" s="166"/>
      <c r="EG3" s="166"/>
      <c r="EH3" s="166"/>
      <c r="EI3" s="166"/>
      <c r="EJ3" s="166"/>
      <c r="EK3" s="166"/>
      <c r="EL3" s="166"/>
      <c r="EM3" s="166"/>
      <c r="EN3" s="166"/>
      <c r="EO3" s="166"/>
      <c r="EP3" s="166"/>
      <c r="EQ3" s="166"/>
      <c r="ER3" s="166"/>
      <c r="ES3" s="166"/>
      <c r="ET3" s="166"/>
      <c r="EU3" s="166"/>
      <c r="EV3" s="166"/>
      <c r="EW3" s="166"/>
      <c r="EX3" s="166"/>
      <c r="EY3" s="166"/>
      <c r="EZ3" s="166"/>
      <c r="FA3" s="166"/>
      <c r="FB3" s="166"/>
      <c r="FC3" s="166"/>
      <c r="FD3" s="166"/>
      <c r="FE3" s="166"/>
      <c r="FF3" s="166"/>
      <c r="FG3" s="166"/>
      <c r="FH3" s="166"/>
      <c r="FI3" s="166"/>
      <c r="FJ3" s="166"/>
      <c r="FK3" s="166"/>
      <c r="FL3" s="166"/>
      <c r="FM3" s="166"/>
      <c r="FN3" s="166"/>
      <c r="FO3" s="166"/>
      <c r="FP3" s="166"/>
      <c r="FQ3" s="166"/>
      <c r="FR3" s="166"/>
      <c r="FS3" s="166"/>
      <c r="FT3" s="166"/>
      <c r="FU3" s="166"/>
      <c r="FV3" s="166"/>
      <c r="FW3" s="166"/>
      <c r="FX3" s="166"/>
      <c r="FY3" s="166"/>
      <c r="FZ3" s="166"/>
      <c r="GA3" s="166"/>
      <c r="GB3" s="166"/>
      <c r="GC3" s="166"/>
      <c r="GD3" s="166"/>
      <c r="GE3" s="166"/>
      <c r="GF3" s="166"/>
      <c r="GG3" s="166"/>
      <c r="GH3" s="166"/>
      <c r="GI3" s="166"/>
      <c r="GJ3" s="166"/>
      <c r="GK3" s="166"/>
      <c r="GL3" s="166"/>
      <c r="GM3" s="166"/>
      <c r="GN3" s="166"/>
      <c r="GO3" s="166"/>
      <c r="GP3" s="166"/>
      <c r="GQ3" s="166"/>
      <c r="GR3" s="166"/>
      <c r="GS3" s="166"/>
      <c r="GT3" s="166"/>
      <c r="GU3" s="166"/>
      <c r="GV3" s="166"/>
      <c r="GW3" s="166"/>
      <c r="GX3" s="166"/>
      <c r="GY3" s="166"/>
      <c r="GZ3" s="166"/>
      <c r="HA3" s="166"/>
      <c r="HB3" s="166"/>
      <c r="HC3" s="166"/>
      <c r="HD3" s="166"/>
      <c r="HE3" s="166"/>
      <c r="HF3" s="166"/>
      <c r="HG3" s="166"/>
      <c r="HH3" s="166"/>
      <c r="HI3" s="166"/>
      <c r="HJ3" s="166"/>
      <c r="HK3" s="166"/>
      <c r="HL3" s="166"/>
      <c r="HM3" s="166"/>
      <c r="HN3" s="166"/>
      <c r="HO3" s="166"/>
      <c r="HP3" s="166"/>
      <c r="HQ3" s="166"/>
      <c r="HR3" s="166"/>
      <c r="HS3" s="166"/>
      <c r="HT3" s="166"/>
      <c r="HU3" s="166"/>
      <c r="HV3" s="166"/>
      <c r="HW3" s="166"/>
      <c r="HX3" s="166"/>
      <c r="HY3" s="166"/>
      <c r="HZ3" s="166"/>
      <c r="IA3" s="166"/>
      <c r="IB3" s="166"/>
      <c r="IC3" s="166"/>
      <c r="ID3" s="166"/>
      <c r="IE3" s="166"/>
      <c r="IF3" s="166"/>
      <c r="IG3" s="166"/>
      <c r="IH3" s="166"/>
      <c r="II3" s="166"/>
      <c r="IJ3" s="166"/>
      <c r="IK3" s="166"/>
      <c r="IL3" s="166"/>
      <c r="IM3" s="166"/>
      <c r="IN3" s="166"/>
      <c r="IO3" s="166"/>
      <c r="IP3" s="166"/>
      <c r="IQ3" s="166"/>
      <c r="IR3" s="166"/>
      <c r="IS3" s="166"/>
      <c r="IT3" s="166"/>
      <c r="IU3" s="166"/>
      <c r="IV3" s="166"/>
      <c r="IW3" s="166"/>
      <c r="IX3" s="166"/>
      <c r="IY3" s="166"/>
      <c r="IZ3" s="166"/>
      <c r="JA3" s="166"/>
      <c r="JB3" s="166"/>
      <c r="JC3" s="166"/>
      <c r="JD3" s="166"/>
      <c r="JE3" s="166"/>
      <c r="JF3" s="166"/>
      <c r="JG3" s="166"/>
    </row>
    <row r="4" spans="1:267" ht="14.4" customHeight="1" x14ac:dyDescent="0.3">
      <c r="B4" s="1" t="s">
        <v>211</v>
      </c>
      <c r="C4" s="167">
        <v>145251024</v>
      </c>
      <c r="D4" s="167">
        <v>108863270</v>
      </c>
      <c r="E4" s="167">
        <v>12555933</v>
      </c>
      <c r="F4" s="167">
        <v>26886909</v>
      </c>
      <c r="G4" s="167">
        <v>24050573</v>
      </c>
      <c r="H4" s="167">
        <v>59458128</v>
      </c>
      <c r="I4" s="167">
        <v>88317703</v>
      </c>
      <c r="J4" s="167">
        <v>230311248</v>
      </c>
      <c r="K4" s="167">
        <f>'P&amp;L'!K30</f>
        <v>241846557</v>
      </c>
      <c r="L4" s="167">
        <f>'P&amp;L'!L30</f>
        <v>218733357</v>
      </c>
      <c r="M4" s="167">
        <f>'P&amp;L'!M30</f>
        <v>167674197</v>
      </c>
      <c r="N4" s="167">
        <f>'P&amp;L'!N30</f>
        <v>126826869</v>
      </c>
    </row>
    <row r="5" spans="1:267" ht="14.4" customHeight="1" x14ac:dyDescent="0.3">
      <c r="B5" s="1" t="s">
        <v>212</v>
      </c>
      <c r="C5" s="167">
        <f>SUM(C6:C16)</f>
        <v>96177017</v>
      </c>
      <c r="D5" s="167">
        <f t="shared" ref="D5:M5" si="0">SUM(D6:D16)</f>
        <v>92944825</v>
      </c>
      <c r="E5" s="167">
        <f t="shared" si="0"/>
        <v>19715916</v>
      </c>
      <c r="F5" s="167">
        <f t="shared" si="0"/>
        <v>20097506</v>
      </c>
      <c r="G5" s="167">
        <f t="shared" si="0"/>
        <v>20874899</v>
      </c>
      <c r="H5" s="167">
        <f t="shared" si="0"/>
        <v>19857066</v>
      </c>
      <c r="I5" s="167">
        <f t="shared" si="0"/>
        <v>21631884</v>
      </c>
      <c r="J5" s="167">
        <f t="shared" si="0"/>
        <v>21610457</v>
      </c>
      <c r="K5" s="167">
        <f t="shared" si="0"/>
        <v>12735038</v>
      </c>
      <c r="L5" s="167">
        <f t="shared" si="0"/>
        <v>12735038</v>
      </c>
      <c r="M5" s="167">
        <f t="shared" si="0"/>
        <v>12735038</v>
      </c>
      <c r="N5" s="167">
        <f t="shared" ref="N5" si="1">SUM(N6:N16)</f>
        <v>12735038</v>
      </c>
    </row>
    <row r="6" spans="1:267" ht="14.4" customHeight="1" x14ac:dyDescent="0.3">
      <c r="B6" s="168" t="s">
        <v>213</v>
      </c>
      <c r="C6" s="114">
        <v>40382628</v>
      </c>
      <c r="D6" s="114">
        <v>41134237</v>
      </c>
      <c r="E6" s="124">
        <v>10222121</v>
      </c>
      <c r="F6" s="124">
        <v>10343401</v>
      </c>
      <c r="G6" s="114">
        <v>10436705</v>
      </c>
      <c r="H6" s="124">
        <v>10438324</v>
      </c>
      <c r="I6" s="124">
        <v>12013349</v>
      </c>
      <c r="J6" s="114">
        <f>-'P&amp;L'!J9</f>
        <v>12735038</v>
      </c>
      <c r="K6" s="114">
        <f>-'P&amp;L'!K9</f>
        <v>12735038</v>
      </c>
      <c r="L6" s="114">
        <f>-'P&amp;L'!L9</f>
        <v>12735038</v>
      </c>
      <c r="M6" s="114">
        <f>-'P&amp;L'!M9</f>
        <v>12735038</v>
      </c>
      <c r="N6" s="114">
        <f>-'P&amp;L'!N9</f>
        <v>12735038</v>
      </c>
    </row>
    <row r="7" spans="1:267" ht="14.4" customHeight="1" x14ac:dyDescent="0.3">
      <c r="B7" s="168" t="s">
        <v>214</v>
      </c>
      <c r="C7" s="114">
        <v>58680985</v>
      </c>
      <c r="D7" s="114">
        <v>53628356</v>
      </c>
      <c r="E7" s="124">
        <v>11014592</v>
      </c>
      <c r="F7" s="124">
        <v>10833146</v>
      </c>
      <c r="G7" s="114">
        <v>10474518</v>
      </c>
      <c r="H7" s="124">
        <v>9831332</v>
      </c>
      <c r="I7" s="124">
        <v>9735336</v>
      </c>
      <c r="J7" s="183">
        <v>9447565</v>
      </c>
      <c r="K7" s="179">
        <v>0</v>
      </c>
      <c r="L7" s="179">
        <v>0</v>
      </c>
      <c r="M7" s="179">
        <v>0</v>
      </c>
      <c r="N7" s="179">
        <v>0</v>
      </c>
    </row>
    <row r="8" spans="1:267" ht="14.4" customHeight="1" x14ac:dyDescent="0.3">
      <c r="B8" s="168" t="s">
        <v>215</v>
      </c>
      <c r="C8" s="114">
        <v>1994191</v>
      </c>
      <c r="D8" s="114">
        <v>2263416</v>
      </c>
      <c r="E8" s="124">
        <v>321553</v>
      </c>
      <c r="F8" s="124">
        <v>316294</v>
      </c>
      <c r="G8" s="114">
        <v>306213</v>
      </c>
      <c r="H8" s="114">
        <v>302205</v>
      </c>
      <c r="I8" s="124">
        <v>314329</v>
      </c>
      <c r="J8" s="183">
        <v>305885</v>
      </c>
      <c r="K8" s="179">
        <v>0</v>
      </c>
      <c r="L8" s="179">
        <v>0</v>
      </c>
      <c r="M8" s="179">
        <v>0</v>
      </c>
      <c r="N8" s="179">
        <v>0</v>
      </c>
    </row>
    <row r="9" spans="1:267" ht="14.4" customHeight="1" x14ac:dyDescent="0.3">
      <c r="B9" s="168" t="s">
        <v>155</v>
      </c>
      <c r="C9" s="114">
        <v>-20135</v>
      </c>
      <c r="D9" s="114">
        <v>291873</v>
      </c>
      <c r="E9" s="114">
        <v>-1114601</v>
      </c>
      <c r="F9" s="114">
        <v>-1351339</v>
      </c>
      <c r="G9" s="114">
        <v>372070</v>
      </c>
      <c r="H9" s="114">
        <v>440406</v>
      </c>
      <c r="I9" s="114">
        <v>627457</v>
      </c>
      <c r="J9" s="183">
        <v>-905854</v>
      </c>
      <c r="K9" s="179">
        <v>0</v>
      </c>
      <c r="L9" s="179">
        <v>0</v>
      </c>
      <c r="M9" s="179">
        <v>0</v>
      </c>
      <c r="N9" s="179">
        <v>0</v>
      </c>
    </row>
    <row r="10" spans="1:267" ht="14.4" customHeight="1" x14ac:dyDescent="0.3">
      <c r="B10" s="168" t="s">
        <v>153</v>
      </c>
      <c r="C10" s="114">
        <v>-4104564</v>
      </c>
      <c r="D10" s="114">
        <v>-3445203</v>
      </c>
      <c r="E10" s="114">
        <v>-408133</v>
      </c>
      <c r="F10" s="114">
        <v>-407470</v>
      </c>
      <c r="G10" s="114">
        <v>-563460</v>
      </c>
      <c r="H10" s="114">
        <v>-812677</v>
      </c>
      <c r="I10" s="114">
        <v>-1051202</v>
      </c>
      <c r="J10" s="183">
        <v>-1379880</v>
      </c>
      <c r="K10" s="179">
        <v>0</v>
      </c>
      <c r="L10" s="179">
        <v>0</v>
      </c>
      <c r="M10" s="179">
        <v>0</v>
      </c>
      <c r="N10" s="179">
        <v>0</v>
      </c>
    </row>
    <row r="11" spans="1:267" ht="14.4" customHeight="1" x14ac:dyDescent="0.3">
      <c r="B11" s="168" t="s">
        <v>216</v>
      </c>
      <c r="C11" s="114">
        <v>0</v>
      </c>
      <c r="D11" s="114">
        <v>0</v>
      </c>
      <c r="E11" s="114">
        <v>0</v>
      </c>
      <c r="F11" s="114">
        <v>1125951</v>
      </c>
      <c r="G11" s="114">
        <v>257817</v>
      </c>
      <c r="H11" s="114">
        <v>0</v>
      </c>
      <c r="I11" s="114">
        <v>0</v>
      </c>
      <c r="J11" s="183">
        <v>1363059</v>
      </c>
      <c r="K11" s="179">
        <v>0</v>
      </c>
      <c r="L11" s="179">
        <v>0</v>
      </c>
      <c r="M11" s="179">
        <v>0</v>
      </c>
      <c r="N11" s="179">
        <v>0</v>
      </c>
    </row>
    <row r="12" spans="1:267" ht="14.4" customHeight="1" x14ac:dyDescent="0.3">
      <c r="B12" s="168" t="s">
        <v>217</v>
      </c>
      <c r="C12" s="114">
        <v>-43323</v>
      </c>
      <c r="D12" s="114">
        <v>-6005</v>
      </c>
      <c r="E12" s="114">
        <v>0</v>
      </c>
      <c r="F12" s="114">
        <v>0</v>
      </c>
      <c r="G12" s="114">
        <v>0</v>
      </c>
      <c r="H12" s="114">
        <v>1010</v>
      </c>
      <c r="I12" s="114">
        <v>0</v>
      </c>
      <c r="J12" s="183">
        <v>0</v>
      </c>
      <c r="K12" s="179">
        <v>0</v>
      </c>
      <c r="L12" s="179">
        <v>0</v>
      </c>
      <c r="M12" s="179">
        <v>0</v>
      </c>
      <c r="N12" s="179">
        <v>0</v>
      </c>
    </row>
    <row r="13" spans="1:267" ht="14.4" customHeight="1" x14ac:dyDescent="0.3">
      <c r="B13" s="168" t="s">
        <v>158</v>
      </c>
      <c r="C13" s="114"/>
      <c r="D13" s="114">
        <v>-1828959</v>
      </c>
      <c r="E13" s="114">
        <v>0</v>
      </c>
      <c r="F13" s="114">
        <v>0</v>
      </c>
      <c r="G13" s="114">
        <v>0</v>
      </c>
      <c r="H13" s="114">
        <v>0</v>
      </c>
      <c r="I13" s="114">
        <v>0</v>
      </c>
      <c r="J13" s="183">
        <v>0</v>
      </c>
      <c r="K13" s="179">
        <v>0</v>
      </c>
      <c r="L13" s="179">
        <v>0</v>
      </c>
      <c r="M13" s="179">
        <v>0</v>
      </c>
      <c r="N13" s="179">
        <v>0</v>
      </c>
    </row>
    <row r="14" spans="1:267" ht="14.4" customHeight="1" x14ac:dyDescent="0.3">
      <c r="B14" s="168" t="s">
        <v>147</v>
      </c>
      <c r="C14" s="114">
        <v>0</v>
      </c>
      <c r="D14" s="114">
        <v>0</v>
      </c>
      <c r="E14" s="114">
        <v>0</v>
      </c>
      <c r="F14" s="114">
        <v>0</v>
      </c>
      <c r="G14" s="114">
        <v>0</v>
      </c>
      <c r="H14" s="114">
        <v>0</v>
      </c>
      <c r="I14" s="114">
        <v>0</v>
      </c>
      <c r="J14" s="183">
        <v>0</v>
      </c>
      <c r="K14" s="179">
        <v>0</v>
      </c>
      <c r="L14" s="179">
        <v>0</v>
      </c>
      <c r="M14" s="179">
        <v>0</v>
      </c>
      <c r="N14" s="179">
        <v>0</v>
      </c>
    </row>
    <row r="15" spans="1:267" ht="14.4" customHeight="1" x14ac:dyDescent="0.3">
      <c r="B15" s="168" t="s">
        <v>218</v>
      </c>
      <c r="C15" s="114">
        <v>0</v>
      </c>
      <c r="D15" s="114">
        <v>0</v>
      </c>
      <c r="E15" s="114">
        <v>0</v>
      </c>
      <c r="F15" s="114">
        <v>0</v>
      </c>
      <c r="G15" s="114"/>
      <c r="H15" s="114">
        <v>0</v>
      </c>
      <c r="I15" s="114">
        <v>0</v>
      </c>
      <c r="J15" s="183">
        <v>0</v>
      </c>
      <c r="K15" s="179">
        <v>0</v>
      </c>
      <c r="L15" s="179">
        <v>0</v>
      </c>
      <c r="M15" s="179">
        <v>0</v>
      </c>
      <c r="N15" s="179">
        <v>0</v>
      </c>
    </row>
    <row r="16" spans="1:267" ht="14.4" customHeight="1" x14ac:dyDescent="0.3">
      <c r="B16" s="168" t="s">
        <v>219</v>
      </c>
      <c r="C16" s="114">
        <v>-712765</v>
      </c>
      <c r="D16" s="114">
        <v>907110</v>
      </c>
      <c r="E16" s="114">
        <v>-319616</v>
      </c>
      <c r="F16" s="114">
        <v>-762477</v>
      </c>
      <c r="G16" s="114">
        <v>-408964</v>
      </c>
      <c r="H16" s="114">
        <v>-343534</v>
      </c>
      <c r="I16" s="114">
        <v>-7385</v>
      </c>
      <c r="J16" s="183">
        <v>44644</v>
      </c>
      <c r="K16" s="179">
        <v>0</v>
      </c>
      <c r="L16" s="179">
        <v>0</v>
      </c>
      <c r="M16" s="179">
        <v>0</v>
      </c>
      <c r="N16" s="179">
        <v>0</v>
      </c>
    </row>
    <row r="17" spans="1:14" ht="14.4" customHeight="1" x14ac:dyDescent="0.3">
      <c r="B17" s="104" t="s">
        <v>220</v>
      </c>
      <c r="C17" s="106">
        <f t="shared" ref="C17:M17" si="2">C4+C5</f>
        <v>241428041</v>
      </c>
      <c r="D17" s="106">
        <f t="shared" si="2"/>
        <v>201808095</v>
      </c>
      <c r="E17" s="106">
        <f t="shared" si="2"/>
        <v>32271849</v>
      </c>
      <c r="F17" s="106">
        <f t="shared" si="2"/>
        <v>46984415</v>
      </c>
      <c r="G17" s="106">
        <f t="shared" si="2"/>
        <v>44925472</v>
      </c>
      <c r="H17" s="106">
        <f t="shared" si="2"/>
        <v>79315194</v>
      </c>
      <c r="I17" s="106">
        <f t="shared" si="2"/>
        <v>109949587</v>
      </c>
      <c r="J17" s="106">
        <f t="shared" si="2"/>
        <v>251921705</v>
      </c>
      <c r="K17" s="106">
        <f t="shared" si="2"/>
        <v>254581595</v>
      </c>
      <c r="L17" s="106">
        <f t="shared" si="2"/>
        <v>231468395</v>
      </c>
      <c r="M17" s="106">
        <f t="shared" si="2"/>
        <v>180409235</v>
      </c>
      <c r="N17" s="106">
        <f t="shared" ref="N17" si="3">N4+N5</f>
        <v>139561907</v>
      </c>
    </row>
    <row r="18" spans="1:14" ht="14.4" customHeight="1" x14ac:dyDescent="0.3">
      <c r="B18" s="168"/>
      <c r="C18" s="120"/>
      <c r="D18" s="120"/>
    </row>
    <row r="19" spans="1:14" ht="14.4" customHeight="1" x14ac:dyDescent="0.3">
      <c r="B19" s="1" t="s">
        <v>221</v>
      </c>
      <c r="C19" s="167">
        <f t="shared" ref="C19:J19" si="4">SUM(C20:C28)</f>
        <v>-7746840</v>
      </c>
      <c r="D19" s="167">
        <f t="shared" si="4"/>
        <v>14454869</v>
      </c>
      <c r="E19" s="167">
        <f t="shared" si="4"/>
        <v>-9439567</v>
      </c>
      <c r="F19" s="167">
        <f t="shared" si="4"/>
        <v>1138132</v>
      </c>
      <c r="G19" s="167">
        <f t="shared" si="4"/>
        <v>-4815999</v>
      </c>
      <c r="H19" s="167">
        <f t="shared" si="4"/>
        <v>-36893556</v>
      </c>
      <c r="I19" s="167">
        <f t="shared" si="4"/>
        <v>7872164</v>
      </c>
      <c r="J19" s="167">
        <f t="shared" si="4"/>
        <v>-52603900</v>
      </c>
      <c r="K19" s="167">
        <f>Balance!J53-Balance!K53</f>
        <v>20133259</v>
      </c>
      <c r="L19" s="167">
        <f>Balance!K53-Balance!L53</f>
        <v>0</v>
      </c>
      <c r="M19" s="167">
        <f>Balance!L53-Balance!M53</f>
        <v>0</v>
      </c>
      <c r="N19" s="167">
        <f>Balance!M53-Balance!N53</f>
        <v>0</v>
      </c>
    </row>
    <row r="20" spans="1:14" ht="14.4" customHeight="1" x14ac:dyDescent="0.3">
      <c r="B20" s="169" t="s">
        <v>183</v>
      </c>
      <c r="C20" s="114">
        <v>-5853175</v>
      </c>
      <c r="D20" s="114">
        <v>17674147</v>
      </c>
      <c r="E20" s="124">
        <v>-7088023</v>
      </c>
      <c r="F20" s="124">
        <v>2517805</v>
      </c>
      <c r="G20" s="124">
        <v>-6866273</v>
      </c>
      <c r="H20" s="124">
        <v>-33884553</v>
      </c>
      <c r="I20" s="124">
        <v>6582122</v>
      </c>
      <c r="J20" s="114">
        <v>-55653751</v>
      </c>
      <c r="K20" s="144">
        <v>0</v>
      </c>
      <c r="L20" s="144">
        <v>0</v>
      </c>
      <c r="M20" s="144">
        <v>0</v>
      </c>
      <c r="N20" s="144">
        <v>0</v>
      </c>
    </row>
    <row r="21" spans="1:14" ht="14.4" customHeight="1" x14ac:dyDescent="0.3">
      <c r="B21" s="169" t="s">
        <v>185</v>
      </c>
      <c r="C21" s="114">
        <v>-824682</v>
      </c>
      <c r="D21" s="114">
        <v>-1902362</v>
      </c>
      <c r="E21" s="124">
        <v>1823689</v>
      </c>
      <c r="F21" s="124">
        <v>-6128875</v>
      </c>
      <c r="G21" s="124">
        <v>3413538</v>
      </c>
      <c r="H21" s="124">
        <v>-781039</v>
      </c>
      <c r="I21" s="124">
        <v>-7234292</v>
      </c>
      <c r="J21" s="114">
        <v>650324</v>
      </c>
      <c r="K21" s="144">
        <v>0</v>
      </c>
      <c r="L21" s="144">
        <v>0</v>
      </c>
      <c r="M21" s="144">
        <v>0</v>
      </c>
      <c r="N21" s="144">
        <v>0</v>
      </c>
    </row>
    <row r="22" spans="1:14" ht="14.4" customHeight="1" x14ac:dyDescent="0.3">
      <c r="B22" s="169" t="s">
        <v>182</v>
      </c>
      <c r="C22" s="114">
        <v>-8343486</v>
      </c>
      <c r="D22" s="114">
        <v>1012352</v>
      </c>
      <c r="E22" s="124">
        <v>-1633174</v>
      </c>
      <c r="F22" s="124">
        <v>3997610</v>
      </c>
      <c r="G22" s="124">
        <v>1168101</v>
      </c>
      <c r="H22" s="124">
        <v>3535413</v>
      </c>
      <c r="I22" s="124">
        <v>-7077603</v>
      </c>
      <c r="J22" s="114">
        <v>-5311401</v>
      </c>
      <c r="K22" s="144">
        <v>0</v>
      </c>
      <c r="L22" s="144">
        <v>0</v>
      </c>
      <c r="M22" s="144">
        <v>0</v>
      </c>
      <c r="N22" s="144">
        <v>0</v>
      </c>
    </row>
    <row r="23" spans="1:14" ht="14.4" customHeight="1" x14ac:dyDescent="0.3">
      <c r="B23" s="169" t="s">
        <v>195</v>
      </c>
      <c r="C23" s="114">
        <v>10958162</v>
      </c>
      <c r="D23" s="114">
        <v>-4470575</v>
      </c>
      <c r="E23" s="124">
        <v>-106831</v>
      </c>
      <c r="F23" s="124">
        <v>-1248502</v>
      </c>
      <c r="G23" s="124">
        <v>-1415155</v>
      </c>
      <c r="H23" s="124">
        <v>-3202845</v>
      </c>
      <c r="I23" s="124">
        <v>8878077</v>
      </c>
      <c r="J23" s="114">
        <v>9614912</v>
      </c>
      <c r="K23" s="144">
        <v>0</v>
      </c>
      <c r="L23" s="144">
        <v>0</v>
      </c>
      <c r="M23" s="144">
        <v>0</v>
      </c>
      <c r="N23" s="144">
        <v>0</v>
      </c>
    </row>
    <row r="24" spans="1:14" ht="14.4" customHeight="1" x14ac:dyDescent="0.3">
      <c r="B24" s="169" t="s">
        <v>196</v>
      </c>
      <c r="C24" s="114">
        <v>-530625</v>
      </c>
      <c r="D24" s="114">
        <v>2398299</v>
      </c>
      <c r="E24" s="124">
        <v>-1438739</v>
      </c>
      <c r="F24" s="124">
        <v>2234618</v>
      </c>
      <c r="G24" s="124">
        <v>-1394569</v>
      </c>
      <c r="H24" s="124">
        <v>3380834</v>
      </c>
      <c r="I24" s="124">
        <v>5271172</v>
      </c>
      <c r="J24" s="114">
        <v>-795355</v>
      </c>
      <c r="K24" s="144">
        <v>0</v>
      </c>
      <c r="L24" s="144">
        <v>0</v>
      </c>
      <c r="M24" s="144">
        <v>0</v>
      </c>
      <c r="N24" s="144">
        <v>0</v>
      </c>
    </row>
    <row r="25" spans="1:14" ht="14.4" customHeight="1" x14ac:dyDescent="0.3">
      <c r="B25" s="169" t="s">
        <v>197</v>
      </c>
      <c r="C25" s="114">
        <v>-4255500</v>
      </c>
      <c r="D25" s="114">
        <v>0</v>
      </c>
      <c r="E25" s="124"/>
      <c r="F25" s="124"/>
      <c r="G25" s="124"/>
      <c r="H25" s="124"/>
      <c r="I25" s="124">
        <v>2700023</v>
      </c>
      <c r="J25" s="114">
        <v>125317</v>
      </c>
      <c r="K25" s="144">
        <v>0</v>
      </c>
      <c r="L25" s="144">
        <v>0</v>
      </c>
      <c r="M25" s="144">
        <v>0</v>
      </c>
      <c r="N25" s="144">
        <v>0</v>
      </c>
    </row>
    <row r="26" spans="1:14" ht="14.4" customHeight="1" x14ac:dyDescent="0.3">
      <c r="B26" s="169" t="s">
        <v>184</v>
      </c>
      <c r="C26" s="114">
        <v>-7137</v>
      </c>
      <c r="D26" s="114">
        <v>-127048</v>
      </c>
      <c r="E26" s="124">
        <v>-77521</v>
      </c>
      <c r="F26" s="124">
        <v>0</v>
      </c>
      <c r="G26" s="124">
        <v>0</v>
      </c>
      <c r="H26" s="124">
        <v>0</v>
      </c>
      <c r="I26" s="124">
        <v>-269918</v>
      </c>
      <c r="J26" s="114">
        <v>-22386</v>
      </c>
      <c r="K26" s="144">
        <v>0</v>
      </c>
      <c r="L26" s="144">
        <v>0</v>
      </c>
      <c r="M26" s="144">
        <v>0</v>
      </c>
      <c r="N26" s="144">
        <v>0</v>
      </c>
    </row>
    <row r="27" spans="1:14" ht="14.4" customHeight="1" x14ac:dyDescent="0.3">
      <c r="B27" s="169" t="s">
        <v>222</v>
      </c>
      <c r="C27" s="114">
        <v>1109603</v>
      </c>
      <c r="D27" s="114">
        <v>-129944</v>
      </c>
      <c r="E27" s="124">
        <v>-388938</v>
      </c>
      <c r="F27" s="124">
        <v>-234524</v>
      </c>
      <c r="G27" s="124">
        <v>0</v>
      </c>
      <c r="H27" s="124">
        <v>-5941366</v>
      </c>
      <c r="I27" s="124">
        <v>-977417</v>
      </c>
      <c r="J27" s="114">
        <v>-1211560</v>
      </c>
      <c r="K27" s="144">
        <v>0</v>
      </c>
      <c r="L27" s="144">
        <v>0</v>
      </c>
      <c r="M27" s="144">
        <v>0</v>
      </c>
      <c r="N27" s="144">
        <v>0</v>
      </c>
    </row>
    <row r="28" spans="1:14" ht="14.4" customHeight="1" x14ac:dyDescent="0.3">
      <c r="B28" s="169" t="s">
        <v>223</v>
      </c>
      <c r="C28" s="114"/>
      <c r="D28" s="114"/>
      <c r="E28" s="124">
        <v>-530030</v>
      </c>
      <c r="F28" s="124">
        <v>0</v>
      </c>
      <c r="G28" s="124">
        <v>278359</v>
      </c>
      <c r="H28" s="124">
        <v>0</v>
      </c>
      <c r="I28" s="124">
        <v>0</v>
      </c>
      <c r="J28" s="114">
        <v>0</v>
      </c>
      <c r="K28" s="144">
        <v>0</v>
      </c>
      <c r="L28" s="144">
        <v>0</v>
      </c>
      <c r="M28" s="144">
        <v>0</v>
      </c>
      <c r="N28" s="144">
        <v>0</v>
      </c>
    </row>
    <row r="29" spans="1:14" ht="14.4" customHeight="1" x14ac:dyDescent="0.3">
      <c r="B29" s="169"/>
      <c r="C29" s="114"/>
      <c r="D29" s="114"/>
      <c r="E29" s="124"/>
      <c r="F29" s="124"/>
      <c r="G29" s="124"/>
      <c r="H29" s="124"/>
      <c r="I29" s="124"/>
      <c r="J29" s="114"/>
      <c r="K29" s="124"/>
    </row>
    <row r="30" spans="1:14" ht="14.4" customHeight="1" x14ac:dyDescent="0.3">
      <c r="B30" s="169" t="s">
        <v>224</v>
      </c>
      <c r="C30" s="114">
        <v>-59649091</v>
      </c>
      <c r="D30" s="114">
        <v>-53444573</v>
      </c>
      <c r="E30" s="124">
        <v>-10867503</v>
      </c>
      <c r="F30" s="124">
        <v>-10800001</v>
      </c>
      <c r="G30" s="124">
        <v>-10561591</v>
      </c>
      <c r="H30" s="124">
        <v>-9955327</v>
      </c>
      <c r="I30" s="124">
        <v>-9332383</v>
      </c>
      <c r="J30" s="114">
        <v>-8909880</v>
      </c>
      <c r="K30" s="144">
        <v>0</v>
      </c>
      <c r="L30" s="144">
        <v>0</v>
      </c>
      <c r="M30" s="144">
        <v>0</v>
      </c>
      <c r="N30" s="144">
        <v>0</v>
      </c>
    </row>
    <row r="31" spans="1:14" ht="14.4" customHeight="1" x14ac:dyDescent="0.3">
      <c r="A31" s="141" t="s">
        <v>171</v>
      </c>
      <c r="B31" s="19" t="s">
        <v>225</v>
      </c>
      <c r="C31" s="121">
        <f t="shared" ref="C31:M31" si="5">C17+C19+C30</f>
        <v>174032110</v>
      </c>
      <c r="D31" s="121">
        <f t="shared" si="5"/>
        <v>162818391</v>
      </c>
      <c r="E31" s="121">
        <f t="shared" si="5"/>
        <v>11964779</v>
      </c>
      <c r="F31" s="121">
        <f t="shared" si="5"/>
        <v>37322546</v>
      </c>
      <c r="G31" s="121">
        <f t="shared" si="5"/>
        <v>29547882</v>
      </c>
      <c r="H31" s="121">
        <f t="shared" si="5"/>
        <v>32466311</v>
      </c>
      <c r="I31" s="121">
        <f t="shared" si="5"/>
        <v>108489368</v>
      </c>
      <c r="J31" s="121">
        <f t="shared" si="5"/>
        <v>190407925</v>
      </c>
      <c r="K31" s="121">
        <f t="shared" si="5"/>
        <v>274714854</v>
      </c>
      <c r="L31" s="121">
        <f t="shared" si="5"/>
        <v>231468395</v>
      </c>
      <c r="M31" s="121">
        <f t="shared" si="5"/>
        <v>180409235</v>
      </c>
      <c r="N31" s="121">
        <f t="shared" ref="N31" si="6">N17+N19+N30</f>
        <v>139561907</v>
      </c>
    </row>
    <row r="32" spans="1:14" s="124" customFormat="1" ht="14.4" customHeight="1" x14ac:dyDescent="0.3">
      <c r="A32" s="170"/>
      <c r="B32" s="125"/>
      <c r="C32" s="72"/>
      <c r="D32" s="72"/>
      <c r="E32" s="72"/>
      <c r="F32" s="72"/>
      <c r="G32" s="72"/>
      <c r="H32" s="72"/>
      <c r="I32" s="72"/>
      <c r="J32" s="72"/>
      <c r="K32" s="72"/>
      <c r="L32" s="72"/>
      <c r="M32" s="72"/>
      <c r="N32" s="72"/>
    </row>
    <row r="33" spans="1:14" s="124" customFormat="1" ht="14.4" customHeight="1" x14ac:dyDescent="0.3">
      <c r="A33" s="170"/>
      <c r="B33" s="125"/>
      <c r="C33" s="72"/>
      <c r="D33" s="72"/>
      <c r="E33" s="72"/>
      <c r="F33" s="72"/>
      <c r="G33" s="72"/>
      <c r="H33" s="72"/>
      <c r="I33" s="72"/>
      <c r="J33" s="72"/>
      <c r="K33" s="72"/>
      <c r="L33" s="72"/>
      <c r="M33" s="72"/>
      <c r="N33" s="72"/>
    </row>
    <row r="34" spans="1:14" s="124" customFormat="1" ht="14.4" customHeight="1" x14ac:dyDescent="0.3">
      <c r="A34" s="170"/>
      <c r="B34" s="125" t="s">
        <v>226</v>
      </c>
      <c r="C34" s="72"/>
      <c r="D34" s="72"/>
      <c r="E34" s="72"/>
      <c r="F34" s="72"/>
      <c r="G34" s="72"/>
      <c r="H34" s="72"/>
      <c r="I34" s="72"/>
      <c r="J34" s="72"/>
      <c r="K34" s="72"/>
      <c r="L34" s="72"/>
      <c r="M34" s="72"/>
      <c r="N34" s="72"/>
    </row>
    <row r="35" spans="1:14" ht="14.4" customHeight="1" x14ac:dyDescent="0.3">
      <c r="B35" s="107" t="s">
        <v>186</v>
      </c>
      <c r="C35" s="79">
        <v>0</v>
      </c>
      <c r="D35" s="79">
        <v>0</v>
      </c>
      <c r="E35" s="107">
        <v>0</v>
      </c>
      <c r="F35" s="107">
        <v>0</v>
      </c>
      <c r="G35" s="107">
        <v>0</v>
      </c>
      <c r="H35" s="107">
        <v>0</v>
      </c>
      <c r="I35" s="107">
        <v>0</v>
      </c>
      <c r="J35" s="114"/>
      <c r="K35" s="144"/>
      <c r="L35" s="144"/>
      <c r="M35" s="144"/>
      <c r="N35" s="144"/>
    </row>
    <row r="36" spans="1:14" ht="14.4" customHeight="1" x14ac:dyDescent="0.3">
      <c r="B36" s="107" t="s">
        <v>227</v>
      </c>
      <c r="C36" s="107">
        <v>0</v>
      </c>
      <c r="D36" s="107">
        <v>0</v>
      </c>
      <c r="E36" s="107">
        <v>0</v>
      </c>
      <c r="F36" s="107">
        <v>0</v>
      </c>
      <c r="G36" s="107">
        <v>0</v>
      </c>
      <c r="H36" s="107">
        <v>0</v>
      </c>
      <c r="I36" s="107">
        <v>0</v>
      </c>
      <c r="J36" s="114"/>
      <c r="K36" s="144"/>
      <c r="L36" s="144"/>
      <c r="M36" s="144"/>
      <c r="N36" s="144"/>
    </row>
    <row r="37" spans="1:14" ht="14.4" customHeight="1" x14ac:dyDescent="0.3">
      <c r="B37" s="17" t="s">
        <v>228</v>
      </c>
      <c r="C37" s="124">
        <v>0</v>
      </c>
      <c r="D37" s="124">
        <v>0</v>
      </c>
      <c r="E37" s="124">
        <v>0</v>
      </c>
      <c r="F37" s="124">
        <v>0</v>
      </c>
      <c r="G37" s="124">
        <v>0</v>
      </c>
      <c r="H37" s="124">
        <v>0</v>
      </c>
      <c r="I37" s="124">
        <v>0</v>
      </c>
      <c r="J37" s="114"/>
      <c r="K37" s="144"/>
      <c r="L37" s="144"/>
      <c r="M37" s="144"/>
      <c r="N37" s="144"/>
    </row>
    <row r="38" spans="1:14" ht="14.4" customHeight="1" x14ac:dyDescent="0.3">
      <c r="B38" s="17" t="s">
        <v>229</v>
      </c>
      <c r="C38" s="124">
        <v>2032927</v>
      </c>
      <c r="D38" s="124">
        <v>1449925</v>
      </c>
      <c r="E38" s="124">
        <v>0</v>
      </c>
      <c r="F38" s="124">
        <v>273575</v>
      </c>
      <c r="G38" s="124">
        <v>39061</v>
      </c>
      <c r="H38" s="124">
        <v>0</v>
      </c>
      <c r="I38" s="124">
        <v>0</v>
      </c>
      <c r="J38" s="114">
        <v>25732172</v>
      </c>
      <c r="K38" s="144"/>
      <c r="L38" s="144"/>
      <c r="M38" s="144"/>
      <c r="N38" s="144"/>
    </row>
    <row r="39" spans="1:14" ht="14.4" customHeight="1" x14ac:dyDescent="0.3">
      <c r="B39" s="17" t="s">
        <v>230</v>
      </c>
      <c r="C39" s="124"/>
      <c r="D39" s="124">
        <v>-1500000</v>
      </c>
      <c r="E39" s="124">
        <v>-911020</v>
      </c>
      <c r="F39" s="124">
        <v>0</v>
      </c>
      <c r="G39" s="124">
        <v>0</v>
      </c>
      <c r="H39" s="124">
        <v>-365932</v>
      </c>
      <c r="I39" s="124">
        <v>-45038360</v>
      </c>
      <c r="J39" s="114">
        <v>0</v>
      </c>
      <c r="K39" s="144"/>
      <c r="L39" s="144"/>
      <c r="M39" s="144"/>
      <c r="N39" s="144"/>
    </row>
    <row r="40" spans="1:14" ht="14.4" customHeight="1" x14ac:dyDescent="0.3">
      <c r="B40" s="17" t="s">
        <v>231</v>
      </c>
      <c r="C40" s="124">
        <v>-3306052</v>
      </c>
      <c r="D40" s="124">
        <v>-11189402</v>
      </c>
      <c r="E40" s="124">
        <v>-719608</v>
      </c>
      <c r="F40" s="124">
        <v>-1254975</v>
      </c>
      <c r="G40" s="124">
        <v>-301747</v>
      </c>
      <c r="H40" s="124">
        <v>-1140193</v>
      </c>
      <c r="I40" s="124">
        <v>-851859</v>
      </c>
      <c r="J40" s="114">
        <v>-760088</v>
      </c>
      <c r="K40" s="144"/>
      <c r="L40" s="144"/>
      <c r="M40" s="144"/>
      <c r="N40" s="144"/>
    </row>
    <row r="41" spans="1:14" ht="14.4" customHeight="1" x14ac:dyDescent="0.3">
      <c r="B41" s="17" t="s">
        <v>232</v>
      </c>
      <c r="C41" s="124">
        <v>0</v>
      </c>
      <c r="D41" s="124">
        <v>0</v>
      </c>
      <c r="E41" s="124"/>
      <c r="F41" s="124"/>
      <c r="G41" s="124"/>
      <c r="H41" s="124">
        <v>-40193651</v>
      </c>
      <c r="I41" s="124">
        <v>-196131744</v>
      </c>
      <c r="J41" s="114">
        <v>-79687469</v>
      </c>
      <c r="K41" s="124">
        <f>-Balance!K58</f>
        <v>-99300000</v>
      </c>
      <c r="L41" s="124">
        <f>-Balance!L58</f>
        <v>0</v>
      </c>
      <c r="M41" s="124">
        <f>-Balance!M58</f>
        <v>0</v>
      </c>
      <c r="N41" s="124">
        <f>-Balance!N58</f>
        <v>0</v>
      </c>
    </row>
    <row r="42" spans="1:14" ht="14.4" customHeight="1" x14ac:dyDescent="0.3">
      <c r="B42" s="17" t="s">
        <v>233</v>
      </c>
      <c r="C42" s="124">
        <v>2233711</v>
      </c>
      <c r="D42" s="124">
        <v>3299288</v>
      </c>
      <c r="E42" s="124">
        <v>290720</v>
      </c>
      <c r="F42" s="124">
        <v>428633</v>
      </c>
      <c r="G42" s="124">
        <v>544254</v>
      </c>
      <c r="H42" s="124">
        <v>891124</v>
      </c>
      <c r="I42" s="124">
        <v>861303</v>
      </c>
      <c r="J42" s="114">
        <v>1595824</v>
      </c>
      <c r="K42" s="144"/>
      <c r="L42" s="144"/>
      <c r="M42" s="144"/>
      <c r="N42" s="144"/>
    </row>
    <row r="43" spans="1:14" ht="14.4" customHeight="1" x14ac:dyDescent="0.3">
      <c r="A43" s="141" t="s">
        <v>171</v>
      </c>
      <c r="B43" s="121" t="s">
        <v>234</v>
      </c>
      <c r="C43" s="121">
        <f t="shared" ref="C43:M43" si="7">SUM(C37:C42)</f>
        <v>960586</v>
      </c>
      <c r="D43" s="121">
        <f t="shared" si="7"/>
        <v>-7940189</v>
      </c>
      <c r="E43" s="121">
        <f t="shared" si="7"/>
        <v>-1339908</v>
      </c>
      <c r="F43" s="121">
        <f t="shared" si="7"/>
        <v>-552767</v>
      </c>
      <c r="G43" s="121">
        <f t="shared" si="7"/>
        <v>281568</v>
      </c>
      <c r="H43" s="121">
        <f t="shared" si="7"/>
        <v>-40808652</v>
      </c>
      <c r="I43" s="121">
        <f t="shared" si="7"/>
        <v>-241160660</v>
      </c>
      <c r="J43" s="121">
        <f t="shared" si="7"/>
        <v>-53119561</v>
      </c>
      <c r="K43" s="121">
        <f t="shared" si="7"/>
        <v>-99300000</v>
      </c>
      <c r="L43" s="121">
        <f t="shared" si="7"/>
        <v>0</v>
      </c>
      <c r="M43" s="121">
        <f t="shared" si="7"/>
        <v>0</v>
      </c>
      <c r="N43" s="121">
        <f t="shared" ref="N43" si="8">SUM(N37:N42)</f>
        <v>0</v>
      </c>
    </row>
    <row r="46" spans="1:14" ht="14.4" customHeight="1" x14ac:dyDescent="0.3">
      <c r="B46" s="130" t="s">
        <v>235</v>
      </c>
      <c r="C46" s="124"/>
      <c r="D46" s="124"/>
      <c r="E46" s="124"/>
      <c r="F46" s="124"/>
      <c r="G46" s="124"/>
      <c r="H46" s="124"/>
      <c r="I46" s="124"/>
      <c r="J46" s="116"/>
      <c r="K46" s="116"/>
      <c r="L46" s="116"/>
      <c r="M46" s="116"/>
      <c r="N46" s="116"/>
    </row>
    <row r="47" spans="1:14" ht="14.4" customHeight="1" x14ac:dyDescent="0.3">
      <c r="B47" s="17" t="s">
        <v>236</v>
      </c>
      <c r="C47" s="124">
        <v>197000000</v>
      </c>
      <c r="D47" s="124">
        <v>199260000</v>
      </c>
      <c r="E47" s="124">
        <v>0</v>
      </c>
      <c r="F47" s="124">
        <v>131000000</v>
      </c>
      <c r="G47" s="124">
        <v>64000000</v>
      </c>
      <c r="H47" s="124">
        <v>0</v>
      </c>
      <c r="I47" s="124">
        <v>90000000</v>
      </c>
      <c r="J47" s="114">
        <v>145000000</v>
      </c>
      <c r="K47" s="107">
        <v>0</v>
      </c>
      <c r="L47" s="107">
        <v>0</v>
      </c>
      <c r="M47" s="107">
        <v>0</v>
      </c>
      <c r="N47" s="107">
        <v>0</v>
      </c>
    </row>
    <row r="48" spans="1:14" ht="14.4" customHeight="1" x14ac:dyDescent="0.3">
      <c r="B48" s="17" t="s">
        <v>237</v>
      </c>
      <c r="C48" s="124">
        <v>-243355165</v>
      </c>
      <c r="D48" s="124">
        <v>-246117877</v>
      </c>
      <c r="E48" s="124">
        <v>-11892732</v>
      </c>
      <c r="F48" s="124">
        <v>-134726689</v>
      </c>
      <c r="G48" s="124">
        <v>-78392715</v>
      </c>
      <c r="H48" s="124">
        <v>-11844948</v>
      </c>
      <c r="I48" s="124">
        <v>-11804154</v>
      </c>
      <c r="J48" s="114">
        <v>-106169664</v>
      </c>
      <c r="K48" s="124">
        <f>Balance!K45-Balance!J45</f>
        <v>-12926587.25</v>
      </c>
      <c r="L48" s="124">
        <f>Balance!L45-Balance!K45</f>
        <v>-12926587.25</v>
      </c>
      <c r="M48" s="124">
        <f>Balance!M45-Balance!L45</f>
        <v>-12926587.25</v>
      </c>
      <c r="N48" s="124">
        <f>Balance!N45-Balance!M45</f>
        <v>-12926587.25</v>
      </c>
    </row>
    <row r="49" spans="1:14" ht="14.4" customHeight="1" x14ac:dyDescent="0.3">
      <c r="B49" s="17" t="s">
        <v>238</v>
      </c>
      <c r="C49" s="124"/>
      <c r="D49" s="124"/>
      <c r="E49" s="124"/>
      <c r="F49" s="124"/>
      <c r="G49" s="124"/>
      <c r="H49" s="124">
        <v>110392854</v>
      </c>
      <c r="I49" s="124">
        <v>124400133</v>
      </c>
      <c r="J49" s="114">
        <v>0</v>
      </c>
      <c r="K49" s="144"/>
      <c r="L49" s="144"/>
      <c r="M49" s="144"/>
      <c r="N49" s="144"/>
    </row>
    <row r="50" spans="1:14" ht="14.4" customHeight="1" x14ac:dyDescent="0.3">
      <c r="B50" s="17" t="s">
        <v>239</v>
      </c>
      <c r="C50" s="124">
        <v>-159360835</v>
      </c>
      <c r="D50" s="124">
        <v>-106562497</v>
      </c>
      <c r="E50" s="124">
        <v>-11267937</v>
      </c>
      <c r="F50" s="124">
        <v>0</v>
      </c>
      <c r="G50" s="124">
        <v>0</v>
      </c>
      <c r="H50" s="124">
        <v>0</v>
      </c>
      <c r="I50" s="124">
        <v>0</v>
      </c>
      <c r="J50" s="114">
        <v>0</v>
      </c>
      <c r="K50" s="144"/>
      <c r="L50" s="144"/>
      <c r="M50" s="144"/>
      <c r="N50" s="144"/>
    </row>
    <row r="51" spans="1:14" ht="14.4" customHeight="1" x14ac:dyDescent="0.3">
      <c r="B51" s="17" t="s">
        <v>198</v>
      </c>
      <c r="C51" s="124">
        <v>0</v>
      </c>
      <c r="D51" s="124">
        <v>0</v>
      </c>
      <c r="E51" s="124">
        <v>0</v>
      </c>
      <c r="F51" s="124">
        <v>0</v>
      </c>
      <c r="G51" s="124">
        <v>0</v>
      </c>
      <c r="H51" s="124">
        <v>0</v>
      </c>
      <c r="I51" s="124">
        <v>0</v>
      </c>
      <c r="J51" s="114">
        <v>0</v>
      </c>
      <c r="K51" s="144"/>
      <c r="L51" s="144"/>
      <c r="M51" s="144"/>
      <c r="N51" s="144"/>
    </row>
    <row r="52" spans="1:14" ht="14.4" customHeight="1" x14ac:dyDescent="0.3">
      <c r="B52" s="17" t="s">
        <v>240</v>
      </c>
      <c r="C52" s="124">
        <v>-1350000</v>
      </c>
      <c r="D52" s="124">
        <v>-1259319</v>
      </c>
      <c r="E52" s="124">
        <v>0</v>
      </c>
      <c r="F52" s="124">
        <v>-884000</v>
      </c>
      <c r="G52" s="124">
        <v>-416000</v>
      </c>
      <c r="H52" s="124">
        <v>0</v>
      </c>
      <c r="I52" s="124">
        <v>-517500</v>
      </c>
      <c r="J52" s="114">
        <v>-1087500</v>
      </c>
      <c r="K52" s="144"/>
      <c r="L52" s="144"/>
      <c r="M52" s="144"/>
      <c r="N52" s="144"/>
    </row>
    <row r="53" spans="1:14" ht="14.4" customHeight="1" x14ac:dyDescent="0.3">
      <c r="B53" s="17" t="s">
        <v>241</v>
      </c>
      <c r="C53" s="124">
        <v>0</v>
      </c>
      <c r="D53" s="124">
        <v>0</v>
      </c>
      <c r="E53" s="124"/>
      <c r="F53" s="124"/>
      <c r="G53" s="124"/>
      <c r="H53" s="124">
        <v>0</v>
      </c>
      <c r="I53" s="124">
        <v>0</v>
      </c>
      <c r="J53" s="114">
        <v>0</v>
      </c>
      <c r="K53" s="144"/>
      <c r="L53" s="144"/>
      <c r="M53" s="144"/>
      <c r="N53" s="144"/>
    </row>
    <row r="54" spans="1:14" ht="14.4" customHeight="1" x14ac:dyDescent="0.3">
      <c r="B54" s="17" t="s">
        <v>242</v>
      </c>
      <c r="C54" s="124">
        <v>0</v>
      </c>
      <c r="D54" s="124">
        <v>0</v>
      </c>
      <c r="E54" s="124"/>
      <c r="F54" s="124">
        <v>-10302115</v>
      </c>
      <c r="G54" s="124">
        <v>-22535876</v>
      </c>
      <c r="H54" s="124">
        <v>-26575157</v>
      </c>
      <c r="I54" s="124">
        <v>-60519215</v>
      </c>
      <c r="J54" s="114">
        <v>-78089310</v>
      </c>
      <c r="K54" s="124">
        <f>-(5.25*'P&amp;L'!K43)</f>
        <v>-204984438.75</v>
      </c>
      <c r="L54" s="124">
        <f>-('P&amp;L'!K39*'P&amp;L'!L43)</f>
        <v>-241846557.00000003</v>
      </c>
      <c r="M54" s="124">
        <f>-('P&amp;L'!L39*'P&amp;L'!M43)</f>
        <v>-218733356.99999997</v>
      </c>
      <c r="N54" s="124">
        <f>-('P&amp;L'!M39*'P&amp;L'!N43)</f>
        <v>-167674197</v>
      </c>
    </row>
    <row r="55" spans="1:14" ht="14.4" customHeight="1" x14ac:dyDescent="0.3">
      <c r="A55" s="141" t="s">
        <v>171</v>
      </c>
      <c r="B55" s="121" t="s">
        <v>243</v>
      </c>
      <c r="C55" s="121">
        <f t="shared" ref="C55:M55" si="9">SUM(C46:C54)</f>
        <v>-207066000</v>
      </c>
      <c r="D55" s="121">
        <f t="shared" si="9"/>
        <v>-154679693</v>
      </c>
      <c r="E55" s="121">
        <f t="shared" si="9"/>
        <v>-23160669</v>
      </c>
      <c r="F55" s="121">
        <f t="shared" si="9"/>
        <v>-14912804</v>
      </c>
      <c r="G55" s="121">
        <f t="shared" si="9"/>
        <v>-37344591</v>
      </c>
      <c r="H55" s="121">
        <f t="shared" si="9"/>
        <v>71972749</v>
      </c>
      <c r="I55" s="121">
        <f t="shared" si="9"/>
        <v>141559264</v>
      </c>
      <c r="J55" s="121">
        <f t="shared" si="9"/>
        <v>-40346474</v>
      </c>
      <c r="K55" s="121">
        <f t="shared" si="9"/>
        <v>-217911026</v>
      </c>
      <c r="L55" s="121">
        <f t="shared" si="9"/>
        <v>-254773144.25000003</v>
      </c>
      <c r="M55" s="121">
        <f t="shared" si="9"/>
        <v>-231659944.24999997</v>
      </c>
      <c r="N55" s="121">
        <f t="shared" ref="N55" si="10">SUM(N46:N54)</f>
        <v>-180600784.25</v>
      </c>
    </row>
    <row r="58" spans="1:14" ht="14.4" customHeight="1" x14ac:dyDescent="0.3">
      <c r="B58" t="s">
        <v>244</v>
      </c>
      <c r="C58" s="114">
        <v>719818</v>
      </c>
      <c r="D58" s="114">
        <v>-847236</v>
      </c>
      <c r="E58" s="124">
        <v>338126</v>
      </c>
      <c r="F58" s="124">
        <v>750452</v>
      </c>
      <c r="G58" s="124">
        <v>405930</v>
      </c>
      <c r="H58" s="124">
        <v>362125</v>
      </c>
      <c r="I58" s="124">
        <v>47383</v>
      </c>
      <c r="J58" s="114">
        <v>77486</v>
      </c>
      <c r="K58" s="114">
        <v>0</v>
      </c>
      <c r="L58" s="114">
        <v>0</v>
      </c>
      <c r="M58" s="114">
        <v>0</v>
      </c>
      <c r="N58" s="114">
        <v>0</v>
      </c>
    </row>
    <row r="59" spans="1:14" ht="14.4" customHeight="1" x14ac:dyDescent="0.3">
      <c r="B59" s="167" t="s">
        <v>245</v>
      </c>
      <c r="C59" s="167">
        <f t="shared" ref="C59:M59" si="11">C31+C43+C55</f>
        <v>-32073304</v>
      </c>
      <c r="D59" s="167">
        <f t="shared" si="11"/>
        <v>198509</v>
      </c>
      <c r="E59" s="167">
        <f t="shared" si="11"/>
        <v>-12535798</v>
      </c>
      <c r="F59" s="167">
        <f t="shared" si="11"/>
        <v>21856975</v>
      </c>
      <c r="G59" s="167">
        <f t="shared" si="11"/>
        <v>-7515141</v>
      </c>
      <c r="H59" s="167">
        <f t="shared" si="11"/>
        <v>63630408</v>
      </c>
      <c r="I59" s="167">
        <f t="shared" si="11"/>
        <v>8887972</v>
      </c>
      <c r="J59" s="167">
        <f t="shared" si="11"/>
        <v>96941890</v>
      </c>
      <c r="K59" s="167">
        <f t="shared" si="11"/>
        <v>-42496172</v>
      </c>
      <c r="L59" s="167">
        <f t="shared" si="11"/>
        <v>-23304749.25000003</v>
      </c>
      <c r="M59" s="167">
        <f t="shared" si="11"/>
        <v>-51250709.24999997</v>
      </c>
      <c r="N59" s="167">
        <f t="shared" ref="N59" si="12">N31+N43+N55</f>
        <v>-41038877.25</v>
      </c>
    </row>
    <row r="60" spans="1:14" ht="14.4" customHeight="1" x14ac:dyDescent="0.3">
      <c r="B60" s="167" t="s">
        <v>246</v>
      </c>
      <c r="C60" s="167">
        <f>81345877</f>
        <v>81345877</v>
      </c>
      <c r="D60" s="167">
        <f t="shared" ref="D60:N60" si="13">C61</f>
        <v>49992391</v>
      </c>
      <c r="E60" s="167">
        <f t="shared" si="13"/>
        <v>49343664</v>
      </c>
      <c r="F60" s="167">
        <f t="shared" si="13"/>
        <v>37145992</v>
      </c>
      <c r="G60" s="167">
        <f t="shared" si="13"/>
        <v>59753419</v>
      </c>
      <c r="H60" s="167">
        <f t="shared" si="13"/>
        <v>52644208</v>
      </c>
      <c r="I60" s="167">
        <f t="shared" si="13"/>
        <v>116636741</v>
      </c>
      <c r="J60" s="167">
        <f t="shared" si="13"/>
        <v>125572096</v>
      </c>
      <c r="K60" s="167">
        <f t="shared" si="13"/>
        <v>222591472</v>
      </c>
      <c r="L60" s="167">
        <f t="shared" si="13"/>
        <v>180095300</v>
      </c>
      <c r="M60" s="167">
        <f t="shared" si="13"/>
        <v>156790550.74999997</v>
      </c>
      <c r="N60" s="167">
        <f t="shared" si="13"/>
        <v>105539841.5</v>
      </c>
    </row>
    <row r="61" spans="1:14" ht="14.4" customHeight="1" x14ac:dyDescent="0.3">
      <c r="B61" s="167" t="s">
        <v>247</v>
      </c>
      <c r="C61" s="167">
        <f t="shared" ref="C61:M61" si="14">C60+C59+C58</f>
        <v>49992391</v>
      </c>
      <c r="D61" s="167">
        <f t="shared" si="14"/>
        <v>49343664</v>
      </c>
      <c r="E61" s="167">
        <f t="shared" si="14"/>
        <v>37145992</v>
      </c>
      <c r="F61" s="167">
        <f t="shared" si="14"/>
        <v>59753419</v>
      </c>
      <c r="G61" s="167">
        <f t="shared" si="14"/>
        <v>52644208</v>
      </c>
      <c r="H61" s="167">
        <f t="shared" si="14"/>
        <v>116636741</v>
      </c>
      <c r="I61" s="167">
        <f t="shared" si="14"/>
        <v>125572096</v>
      </c>
      <c r="J61" s="167">
        <f t="shared" si="14"/>
        <v>222591472</v>
      </c>
      <c r="K61" s="167">
        <f t="shared" si="14"/>
        <v>180095300</v>
      </c>
      <c r="L61" s="167">
        <f t="shared" si="14"/>
        <v>156790550.74999997</v>
      </c>
      <c r="M61" s="167">
        <f t="shared" si="14"/>
        <v>105539841.5</v>
      </c>
      <c r="N61" s="167">
        <f t="shared" ref="N61" si="15">N60+N59+N58</f>
        <v>64500964.25</v>
      </c>
    </row>
    <row r="64" spans="1:14" ht="14.4" customHeight="1" x14ac:dyDescent="0.3">
      <c r="B64" s="121" t="s">
        <v>128</v>
      </c>
      <c r="C64" s="121">
        <f t="shared" ref="C64:M64" si="16">C31+C40+C41</f>
        <v>170726058</v>
      </c>
      <c r="D64" s="121">
        <f t="shared" si="16"/>
        <v>151628989</v>
      </c>
      <c r="E64" s="121">
        <f t="shared" si="16"/>
        <v>11245171</v>
      </c>
      <c r="F64" s="121">
        <f t="shared" si="16"/>
        <v>36067571</v>
      </c>
      <c r="G64" s="121">
        <f t="shared" si="16"/>
        <v>29246135</v>
      </c>
      <c r="H64" s="121">
        <f t="shared" si="16"/>
        <v>-8867533</v>
      </c>
      <c r="I64" s="121">
        <f t="shared" si="16"/>
        <v>-88494235</v>
      </c>
      <c r="J64" s="121">
        <f t="shared" si="16"/>
        <v>109960368</v>
      </c>
      <c r="K64" s="121">
        <f t="shared" si="16"/>
        <v>175414854</v>
      </c>
      <c r="L64" s="121">
        <f t="shared" si="16"/>
        <v>231468395</v>
      </c>
      <c r="M64" s="121">
        <f t="shared" si="16"/>
        <v>180409235</v>
      </c>
      <c r="N64" s="121">
        <f t="shared" ref="N64" si="17">N31+N40+N41</f>
        <v>139561907</v>
      </c>
    </row>
    <row r="65" spans="2:14" ht="14.4" customHeight="1" x14ac:dyDescent="0.3">
      <c r="B65" s="121" t="s">
        <v>248</v>
      </c>
      <c r="C65" s="121">
        <f t="shared" ref="C65:M65" si="18">C64-C30</f>
        <v>230375149</v>
      </c>
      <c r="D65" s="121">
        <f t="shared" si="18"/>
        <v>205073562</v>
      </c>
      <c r="E65" s="121">
        <f t="shared" si="18"/>
        <v>22112674</v>
      </c>
      <c r="F65" s="121">
        <f t="shared" si="18"/>
        <v>46867572</v>
      </c>
      <c r="G65" s="121">
        <f t="shared" si="18"/>
        <v>39807726</v>
      </c>
      <c r="H65" s="121">
        <f t="shared" si="18"/>
        <v>1087794</v>
      </c>
      <c r="I65" s="121">
        <f t="shared" si="18"/>
        <v>-79161852</v>
      </c>
      <c r="J65" s="121">
        <f t="shared" si="18"/>
        <v>118870248</v>
      </c>
      <c r="K65" s="121">
        <f t="shared" si="18"/>
        <v>175414854</v>
      </c>
      <c r="L65" s="121">
        <f t="shared" si="18"/>
        <v>231468395</v>
      </c>
      <c r="M65" s="121">
        <f t="shared" si="18"/>
        <v>180409235</v>
      </c>
      <c r="N65" s="121">
        <f t="shared" ref="N65" si="19">N64-N30</f>
        <v>139561907</v>
      </c>
    </row>
  </sheetData>
  <pageMargins left="0.7" right="0.7" top="0.75" bottom="0.75" header="0.3" footer="0.3"/>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Cover</vt:lpstr>
      <vt:lpstr>NAV</vt:lpstr>
      <vt:lpstr>P&amp;L</vt:lpstr>
      <vt:lpstr>Balance</vt:lpstr>
      <vt:lpstr>CashFlow</vt:lpstr>
    </vt:vector>
  </TitlesOfParts>
  <Company>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Full name</dc:creator>
  <cp:lastModifiedBy>Full name</cp:lastModifiedBy>
  <dcterms:created xsi:type="dcterms:W3CDTF">2026-05-27T16:22:53Z</dcterms:created>
  <dcterms:modified xsi:type="dcterms:W3CDTF">2026-08-15T07:20:46Z</dcterms:modified>
</cp:coreProperties>
</file>