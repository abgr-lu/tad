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444" yWindow="1548" windowWidth="11916" windowHeight="7500" tabRatio="778" activeTab="1"/>
  </bookViews>
  <sheets>
    <sheet name="Stock Master" sheetId="2" r:id="rId1"/>
    <sheet name="Vessels Values Master" sheetId="1" r:id="rId2"/>
  </sheets>
  <externalReferences>
    <externalReference r:id="rId3"/>
  </externalReferences>
  <calcPr calcId="144525"/>
</workbook>
</file>

<file path=xl/calcChain.xml><?xml version="1.0" encoding="utf-8"?>
<calcChain xmlns="http://schemas.openxmlformats.org/spreadsheetml/2006/main">
  <c r="J8" i="2" l="1"/>
  <c r="D6" i="1" l="1"/>
  <c r="D7" i="1"/>
  <c r="J25" i="2" l="1"/>
  <c r="J22" i="2" l="1"/>
  <c r="J9" i="2" l="1"/>
  <c r="J18" i="2" l="1"/>
  <c r="J2" i="2" l="1"/>
  <c r="J4" i="2" l="1"/>
  <c r="J26" i="2" l="1"/>
  <c r="J23" i="2" l="1"/>
  <c r="J6" i="2" l="1"/>
  <c r="J11" i="2" l="1"/>
  <c r="J21" i="2" l="1"/>
  <c r="F26" i="2" l="1"/>
  <c r="F25" i="2" l="1"/>
  <c r="J24" i="2" l="1"/>
  <c r="F24" i="2"/>
  <c r="F23" i="2" l="1"/>
  <c r="F22" i="2" l="1"/>
  <c r="F21" i="2" l="1"/>
  <c r="F20" i="2" l="1"/>
  <c r="F19" i="2" l="1"/>
  <c r="F18" i="2" l="1"/>
  <c r="J14" i="2" l="1"/>
  <c r="F14" i="2"/>
  <c r="J13" i="2" l="1"/>
  <c r="F13" i="2"/>
  <c r="J12" i="2" l="1"/>
  <c r="F12" i="2"/>
  <c r="F11" i="2" l="1"/>
  <c r="F10" i="2" l="1"/>
  <c r="J10" i="2" l="1"/>
  <c r="F9" i="2" l="1"/>
  <c r="F8" i="2" l="1"/>
  <c r="D2" i="1" l="1"/>
  <c r="D3" i="1"/>
  <c r="D4" i="1"/>
  <c r="D5" i="1"/>
  <c r="D34" i="1"/>
  <c r="P42" i="1" s="1"/>
  <c r="D37" i="1"/>
  <c r="P51" i="1" s="1"/>
  <c r="D38" i="1"/>
  <c r="V51" i="1" s="1"/>
  <c r="D35" i="1"/>
  <c r="D51" i="1" s="1"/>
  <c r="D36" i="1"/>
  <c r="J51" i="1" s="1"/>
  <c r="D32" i="1"/>
  <c r="D42" i="1" s="1"/>
  <c r="D33" i="1"/>
  <c r="J42" i="1" s="1"/>
  <c r="F7" i="2"/>
  <c r="F6" i="2" l="1"/>
  <c r="J5" i="2" l="1"/>
  <c r="F5" i="2"/>
  <c r="F4" i="2" l="1"/>
  <c r="F3" i="2" l="1"/>
  <c r="J3" i="2" l="1"/>
  <c r="F2" i="2" l="1"/>
  <c r="J20" i="1" l="1"/>
  <c r="D20" i="1"/>
  <c r="P11" i="1"/>
  <c r="J11" i="1"/>
  <c r="P20" i="1"/>
  <c r="D11" i="1"/>
  <c r="K13" i="2" l="1"/>
  <c r="K12" i="2" l="1"/>
  <c r="K26" i="2" l="1"/>
  <c r="K25" i="2" l="1"/>
  <c r="K24" i="2" l="1"/>
  <c r="K23" i="2" l="1"/>
  <c r="K18" i="2" l="1"/>
  <c r="K22" i="2" l="1"/>
  <c r="K21" i="2" l="1"/>
  <c r="V56" i="1" l="1"/>
  <c r="V55" i="1"/>
  <c r="V54" i="1"/>
  <c r="V53" i="1"/>
  <c r="V52" i="1"/>
  <c r="J56" i="1"/>
  <c r="J55" i="1"/>
  <c r="J54" i="1"/>
  <c r="J53" i="1"/>
  <c r="J52" i="1"/>
  <c r="J47" i="1"/>
  <c r="J46" i="1"/>
  <c r="J45" i="1"/>
  <c r="J44" i="1"/>
  <c r="J43" i="1"/>
  <c r="P25" i="1"/>
  <c r="P24" i="1"/>
  <c r="P23" i="1"/>
  <c r="P22" i="1"/>
  <c r="P21" i="1"/>
  <c r="J25" i="1"/>
  <c r="J24" i="1"/>
  <c r="J23" i="1"/>
  <c r="J22" i="1"/>
  <c r="J21" i="1"/>
  <c r="D25" i="1"/>
  <c r="D24" i="1"/>
  <c r="D23" i="1"/>
  <c r="D22" i="1"/>
  <c r="D21" i="1"/>
  <c r="P16" i="1"/>
  <c r="P15" i="1"/>
  <c r="P14" i="1"/>
  <c r="P13" i="1"/>
  <c r="P12" i="1"/>
  <c r="J16" i="1"/>
  <c r="J15" i="1"/>
  <c r="J14" i="1"/>
  <c r="J13" i="1"/>
  <c r="J12" i="1"/>
  <c r="I10" i="1" l="1" a="1"/>
  <c r="I10" i="1" s="1"/>
  <c r="I19" i="1" a="1"/>
  <c r="L19" i="1" s="1"/>
  <c r="I41" i="1" a="1"/>
  <c r="L41" i="1" s="1"/>
  <c r="C19" i="1" a="1"/>
  <c r="F19" i="1" s="1"/>
  <c r="U50" i="1" a="1"/>
  <c r="U50" i="1" s="1"/>
  <c r="I50" i="1" a="1"/>
  <c r="I50" i="1" s="1"/>
  <c r="O19" i="1" a="1"/>
  <c r="R19" i="1" s="1"/>
  <c r="O10" i="1" a="1"/>
  <c r="O10" i="1" s="1"/>
  <c r="G94" i="1" l="1"/>
  <c r="D91" i="1"/>
  <c r="D92" i="1"/>
  <c r="J94" i="1"/>
  <c r="M91" i="1"/>
  <c r="G93" i="1"/>
  <c r="J96" i="1"/>
  <c r="G95" i="1"/>
  <c r="K10" i="1"/>
  <c r="L10" i="1"/>
  <c r="J10" i="1"/>
  <c r="K19" i="1"/>
  <c r="I19" i="1"/>
  <c r="J19" i="1"/>
  <c r="K41" i="1"/>
  <c r="I41" i="1"/>
  <c r="J41" i="1"/>
  <c r="E19" i="1"/>
  <c r="C19" i="1"/>
  <c r="D19" i="1"/>
  <c r="X50" i="1"/>
  <c r="W50" i="1"/>
  <c r="V50" i="1"/>
  <c r="J50" i="1"/>
  <c r="K50" i="1"/>
  <c r="L50" i="1"/>
  <c r="O19" i="1"/>
  <c r="P19" i="1"/>
  <c r="Q19" i="1"/>
  <c r="P10" i="1"/>
  <c r="Q10" i="1"/>
  <c r="R10" i="1"/>
  <c r="D16" i="1"/>
  <c r="D15" i="1"/>
  <c r="D14" i="1"/>
  <c r="D13" i="1"/>
  <c r="D12" i="1"/>
  <c r="C10" i="1" l="1" a="1"/>
  <c r="F10" i="1" s="1"/>
  <c r="D94" i="1"/>
  <c r="F94" i="1"/>
  <c r="E94" i="1"/>
  <c r="F91" i="1"/>
  <c r="E91" i="1"/>
  <c r="G91" i="1"/>
  <c r="E92" i="1"/>
  <c r="G92" i="1"/>
  <c r="F92" i="1"/>
  <c r="L94" i="1"/>
  <c r="K94" i="1"/>
  <c r="M94" i="1"/>
  <c r="L91" i="1"/>
  <c r="K91" i="1"/>
  <c r="J91" i="1"/>
  <c r="D93" i="1"/>
  <c r="F93" i="1"/>
  <c r="E93" i="1"/>
  <c r="L96" i="1"/>
  <c r="M96" i="1"/>
  <c r="K96" i="1"/>
  <c r="F95" i="1"/>
  <c r="E95" i="1"/>
  <c r="D95" i="1"/>
  <c r="D10" i="1" l="1"/>
  <c r="E10" i="1"/>
  <c r="C10" i="1"/>
  <c r="J69" i="1"/>
  <c r="J67" i="1"/>
  <c r="D66" i="1"/>
  <c r="D71" i="1"/>
  <c r="D68" i="1"/>
  <c r="D73" i="1"/>
  <c r="D78" i="1"/>
  <c r="D85" i="1"/>
  <c r="D84" i="1"/>
  <c r="D83" i="1"/>
  <c r="D67" i="1"/>
  <c r="D74" i="1"/>
  <c r="D72" i="1"/>
  <c r="D81" i="1"/>
  <c r="D80" i="1"/>
  <c r="D79" i="1"/>
  <c r="D65" i="1"/>
  <c r="D70" i="1"/>
  <c r="D69" i="1"/>
  <c r="D77" i="1"/>
  <c r="D76" i="1"/>
  <c r="D75" i="1"/>
  <c r="D82" i="1"/>
  <c r="G65" i="1"/>
  <c r="M69" i="1"/>
  <c r="M73" i="1"/>
  <c r="M72" i="1"/>
  <c r="M85" i="1"/>
  <c r="M74" i="1"/>
  <c r="M84" i="1"/>
  <c r="E78" i="1"/>
  <c r="E76" i="1"/>
  <c r="E66" i="1"/>
  <c r="E70" i="1"/>
  <c r="E69" i="1"/>
  <c r="E75" i="1"/>
  <c r="E85" i="1"/>
  <c r="E65" i="1"/>
  <c r="E82" i="1"/>
  <c r="E71" i="1"/>
  <c r="E74" i="1"/>
  <c r="E80" i="1"/>
  <c r="E68" i="1"/>
  <c r="E72" i="1"/>
  <c r="E81" i="1"/>
  <c r="E79" i="1"/>
  <c r="E83" i="1"/>
  <c r="E84" i="1"/>
  <c r="E67" i="1"/>
  <c r="E73" i="1"/>
  <c r="G69" i="1"/>
  <c r="G73" i="1"/>
  <c r="G77" i="1"/>
  <c r="G81" i="1"/>
  <c r="G85" i="1"/>
  <c r="G68" i="1"/>
  <c r="G76" i="1"/>
  <c r="G84" i="1"/>
  <c r="G66" i="1"/>
  <c r="G70" i="1"/>
  <c r="G74" i="1"/>
  <c r="G78" i="1"/>
  <c r="G82" i="1"/>
  <c r="G72" i="1"/>
  <c r="G67" i="1"/>
  <c r="G71" i="1"/>
  <c r="G75" i="1"/>
  <c r="G79" i="1"/>
  <c r="G83" i="1"/>
  <c r="G80" i="1"/>
  <c r="F90" i="1"/>
  <c r="G90" i="1"/>
  <c r="O70" i="1"/>
  <c r="M80" i="1"/>
  <c r="E77" i="1"/>
  <c r="J72" i="1"/>
  <c r="J82" i="1"/>
  <c r="J81" i="1"/>
  <c r="J83" i="1"/>
  <c r="J74" i="1"/>
  <c r="J73" i="1"/>
  <c r="J75" i="1"/>
  <c r="J66" i="1"/>
  <c r="J80" i="1"/>
  <c r="O73" i="1"/>
  <c r="M78" i="1"/>
  <c r="M77" i="1"/>
  <c r="M66" i="1"/>
  <c r="M70" i="1"/>
  <c r="M67" i="1"/>
  <c r="M71" i="1"/>
  <c r="M79" i="1"/>
  <c r="M82" i="1"/>
  <c r="M65" i="1"/>
  <c r="M83" i="1"/>
  <c r="M68" i="1"/>
  <c r="M76" i="1"/>
  <c r="M75" i="1"/>
  <c r="M81" i="1"/>
  <c r="J70" i="1"/>
  <c r="J85" i="1"/>
  <c r="J84" i="1"/>
  <c r="J68" i="1"/>
  <c r="J71" i="1"/>
  <c r="J78" i="1"/>
  <c r="J77" i="1"/>
  <c r="J76" i="1"/>
  <c r="J79" i="1"/>
  <c r="J65" i="1"/>
  <c r="F69" i="1"/>
  <c r="F73" i="1"/>
  <c r="F75" i="1"/>
  <c r="F79" i="1"/>
  <c r="F81" i="1"/>
  <c r="F85" i="1"/>
  <c r="F66" i="1"/>
  <c r="F70" i="1"/>
  <c r="F72" i="1"/>
  <c r="F76" i="1"/>
  <c r="F80" i="1"/>
  <c r="F84" i="1"/>
  <c r="F67" i="1"/>
  <c r="F71" i="1"/>
  <c r="F77" i="1"/>
  <c r="F83" i="1"/>
  <c r="F68" i="1"/>
  <c r="F74" i="1"/>
  <c r="F78" i="1"/>
  <c r="F82" i="1"/>
  <c r="F65" i="1"/>
  <c r="O75" i="1"/>
  <c r="O69" i="1"/>
  <c r="O80" i="1"/>
  <c r="O82" i="1"/>
  <c r="O72" i="1"/>
  <c r="O78" i="1"/>
  <c r="O84" i="1"/>
  <c r="O76" i="1"/>
  <c r="O85" i="1"/>
  <c r="O83" i="1"/>
  <c r="O68" i="1"/>
  <c r="O77" i="1"/>
  <c r="O67" i="1"/>
  <c r="O71" i="1"/>
  <c r="O79" i="1"/>
  <c r="O66" i="1"/>
  <c r="O74" i="1"/>
  <c r="O65" i="1"/>
  <c r="O81" i="1"/>
  <c r="H69" i="1"/>
  <c r="H73" i="1"/>
  <c r="H77" i="1"/>
  <c r="H81" i="1"/>
  <c r="H85" i="1"/>
  <c r="H66" i="1"/>
  <c r="H70" i="1"/>
  <c r="H74" i="1"/>
  <c r="H78" i="1"/>
  <c r="H82" i="1"/>
  <c r="H65" i="1"/>
  <c r="H67" i="1"/>
  <c r="H71" i="1"/>
  <c r="H75" i="1"/>
  <c r="H79" i="1"/>
  <c r="H83" i="1"/>
  <c r="H68" i="1"/>
  <c r="H72" i="1"/>
  <c r="H76" i="1"/>
  <c r="H80" i="1"/>
  <c r="H84" i="1"/>
  <c r="D90" i="1" l="1"/>
  <c r="E90" i="1"/>
  <c r="C79" i="1" l="1"/>
  <c r="C72" i="1"/>
  <c r="C74" i="1"/>
  <c r="C83" i="1"/>
  <c r="C71" i="1"/>
  <c r="C68" i="1"/>
  <c r="C70" i="1"/>
  <c r="C82" i="1"/>
  <c r="C69" i="1"/>
  <c r="C78" i="1"/>
  <c r="C85" i="1"/>
  <c r="C73" i="1"/>
  <c r="C65" i="1"/>
  <c r="C76" i="1"/>
  <c r="C81" i="1"/>
  <c r="C67" i="1"/>
  <c r="C84" i="1"/>
  <c r="C66" i="1"/>
  <c r="C75" i="1"/>
  <c r="C77" i="1"/>
  <c r="C80" i="1"/>
  <c r="D43" i="1"/>
  <c r="D44" i="1"/>
  <c r="D45" i="1"/>
  <c r="D46" i="1"/>
  <c r="D47" i="1"/>
  <c r="C41" i="1" l="1" a="1"/>
  <c r="C41" i="1" s="1"/>
  <c r="D52" i="1"/>
  <c r="D53" i="1"/>
  <c r="D54" i="1"/>
  <c r="D55" i="1"/>
  <c r="D56" i="1"/>
  <c r="C50" i="1" l="1" a="1"/>
  <c r="F50" i="1" s="1"/>
  <c r="J90" i="1"/>
  <c r="D41" i="1"/>
  <c r="E41" i="1"/>
  <c r="F41" i="1"/>
  <c r="K10" i="2"/>
  <c r="C50" i="1" l="1"/>
  <c r="D50" i="1"/>
  <c r="E50" i="1"/>
  <c r="M93" i="1"/>
  <c r="K90" i="1"/>
  <c r="L90" i="1"/>
  <c r="M90" i="1"/>
  <c r="L93" i="1" l="1"/>
  <c r="K93" i="1"/>
  <c r="J93" i="1"/>
  <c r="I72" i="1"/>
  <c r="I67" i="1"/>
  <c r="I66" i="1"/>
  <c r="I68" i="1"/>
  <c r="I78" i="1"/>
  <c r="I75" i="1"/>
  <c r="I74" i="1"/>
  <c r="I70" i="1"/>
  <c r="I85" i="1"/>
  <c r="I82" i="1"/>
  <c r="I84" i="1"/>
  <c r="I77" i="1"/>
  <c r="I83" i="1"/>
  <c r="I69" i="1"/>
  <c r="I79" i="1"/>
  <c r="I76" i="1"/>
  <c r="I73" i="1"/>
  <c r="I81" i="1"/>
  <c r="I71" i="1"/>
  <c r="I65" i="1"/>
  <c r="I80" i="1"/>
  <c r="L85" i="1" l="1"/>
  <c r="L71" i="1"/>
  <c r="L73" i="1"/>
  <c r="L80" i="1"/>
  <c r="L77" i="1"/>
  <c r="L69" i="1"/>
  <c r="L66" i="1"/>
  <c r="L72" i="1"/>
  <c r="L82" i="1"/>
  <c r="L67" i="1"/>
  <c r="L83" i="1"/>
  <c r="L70" i="1"/>
  <c r="L68" i="1"/>
  <c r="L84" i="1"/>
  <c r="L65" i="1"/>
  <c r="L76" i="1"/>
  <c r="L74" i="1"/>
  <c r="L75" i="1"/>
  <c r="L79" i="1"/>
  <c r="L81" i="1"/>
  <c r="L78" i="1"/>
  <c r="P43" i="1"/>
  <c r="P44" i="1"/>
  <c r="P45" i="1"/>
  <c r="P46" i="1"/>
  <c r="P47" i="1"/>
  <c r="O41" i="1" l="1" a="1"/>
  <c r="R41" i="1" s="1"/>
  <c r="P52" i="1"/>
  <c r="P53" i="1"/>
  <c r="P54" i="1"/>
  <c r="P55" i="1"/>
  <c r="P56" i="1"/>
  <c r="M92" i="1" l="1"/>
  <c r="O50" i="1" a="1"/>
  <c r="Q50" i="1" s="1"/>
  <c r="Q41" i="1"/>
  <c r="P41" i="1"/>
  <c r="O41" i="1"/>
  <c r="K5" i="2"/>
  <c r="K92" i="1" l="1"/>
  <c r="J92" i="1"/>
  <c r="L92" i="1"/>
  <c r="L95" i="1"/>
  <c r="R50" i="1"/>
  <c r="O50" i="1"/>
  <c r="P50" i="1"/>
  <c r="K9" i="2"/>
  <c r="K84" i="1" l="1"/>
  <c r="K68" i="1"/>
  <c r="K75" i="1"/>
  <c r="K74" i="1"/>
  <c r="K71" i="1"/>
  <c r="K81" i="1"/>
  <c r="K67" i="1"/>
  <c r="K65" i="1"/>
  <c r="K77" i="1"/>
  <c r="K83" i="1"/>
  <c r="K79" i="1"/>
  <c r="K70" i="1"/>
  <c r="K80" i="1"/>
  <c r="K82" i="1"/>
  <c r="K66" i="1"/>
  <c r="K73" i="1"/>
  <c r="K76" i="1"/>
  <c r="K78" i="1"/>
  <c r="K85" i="1"/>
  <c r="K69" i="1"/>
  <c r="K72" i="1"/>
  <c r="K95" i="1"/>
  <c r="M95" i="1"/>
  <c r="J95" i="1"/>
  <c r="N72" i="1" l="1"/>
  <c r="N73" i="1"/>
  <c r="N66" i="1"/>
  <c r="N74" i="1"/>
  <c r="N71" i="1"/>
  <c r="N80" i="1"/>
  <c r="N81" i="1"/>
  <c r="N78" i="1"/>
  <c r="N84" i="1"/>
  <c r="N85" i="1"/>
  <c r="N65" i="1"/>
  <c r="N83" i="1"/>
  <c r="N70" i="1"/>
  <c r="N68" i="1"/>
  <c r="N79" i="1"/>
  <c r="N67" i="1"/>
  <c r="N69" i="1"/>
  <c r="N77" i="1"/>
  <c r="N82" i="1"/>
  <c r="N76" i="1"/>
  <c r="N75" i="1"/>
  <c r="K6" i="2"/>
  <c r="K14" i="2"/>
  <c r="K3" i="2" l="1"/>
  <c r="K2" i="2" l="1"/>
  <c r="K4" i="2" l="1"/>
  <c r="K11" i="2" l="1"/>
  <c r="K8" i="2" l="1"/>
  <c r="J19" i="2" l="1"/>
  <c r="K19" i="2" s="1"/>
  <c r="J7" i="2" l="1"/>
  <c r="K7" i="2" s="1"/>
  <c r="J20" i="2" l="1"/>
  <c r="K20" i="2" s="1"/>
  <c r="G11" i="2" l="1"/>
  <c r="H11" i="2" l="1"/>
  <c r="D11" i="2" l="1"/>
  <c r="E11" i="2"/>
  <c r="H8" i="2"/>
  <c r="G8" i="2"/>
  <c r="E8" i="2" l="1"/>
  <c r="G12" i="2"/>
  <c r="H12" i="2"/>
  <c r="D8" i="2" l="1"/>
  <c r="H24" i="2"/>
  <c r="E12" i="2" l="1"/>
  <c r="G24" i="2"/>
  <c r="D12" i="2" l="1"/>
  <c r="H25" i="2" l="1"/>
  <c r="G25" i="2"/>
  <c r="H22" i="2" l="1"/>
  <c r="G9" i="2" l="1"/>
  <c r="H9" i="2"/>
  <c r="E9" i="2" l="1"/>
  <c r="G18" i="2"/>
  <c r="H18" i="2"/>
  <c r="D9" i="2" l="1"/>
  <c r="H20" i="2"/>
  <c r="E18" i="2" l="1"/>
  <c r="G20" i="2"/>
  <c r="D18" i="2" l="1"/>
  <c r="G2" i="2"/>
  <c r="H2" i="2"/>
  <c r="H19" i="2" l="1"/>
  <c r="G19" i="2"/>
  <c r="E2" i="2" l="1"/>
  <c r="G10" i="2"/>
  <c r="H10" i="2"/>
  <c r="D2" i="2" l="1"/>
  <c r="E10" i="2"/>
  <c r="G7" i="2"/>
  <c r="H7" i="2"/>
  <c r="D10" i="2" l="1"/>
  <c r="G4" i="2"/>
  <c r="H4" i="2"/>
  <c r="E7" i="2" l="1"/>
  <c r="H26" i="2"/>
  <c r="D7" i="2" l="1"/>
  <c r="E4" i="2"/>
  <c r="G26" i="2"/>
  <c r="G23" i="2"/>
  <c r="H23" i="2"/>
  <c r="D4" i="2" l="1"/>
  <c r="E23" i="2" l="1"/>
  <c r="H6" i="2"/>
  <c r="G6" i="2"/>
  <c r="D23" i="2" l="1"/>
  <c r="E6" i="2" l="1"/>
  <c r="D6" i="2" l="1"/>
  <c r="G21" i="2" l="1"/>
  <c r="H21" i="2"/>
  <c r="G14" i="2" l="1"/>
  <c r="H14" i="2"/>
  <c r="G13" i="2" l="1"/>
  <c r="H13" i="2"/>
  <c r="G5" i="2" l="1"/>
  <c r="H5" i="2"/>
  <c r="G3" i="2" l="1"/>
  <c r="H3" i="2"/>
  <c r="E5" i="2" l="1"/>
  <c r="D5" i="2" l="1"/>
  <c r="E3" i="2" l="1"/>
  <c r="D3" i="2" l="1"/>
  <c r="E24" i="2" l="1"/>
  <c r="E14" i="2"/>
  <c r="E21" i="2"/>
  <c r="D21" i="2" l="1"/>
  <c r="D14" i="2"/>
  <c r="D24" i="2"/>
  <c r="E13" i="2" l="1"/>
  <c r="E19" i="2"/>
  <c r="E20" i="2"/>
  <c r="E22" i="2"/>
  <c r="E25" i="2"/>
  <c r="E26" i="2"/>
  <c r="D19" i="2" l="1"/>
  <c r="D25" i="2"/>
  <c r="D22" i="2"/>
  <c r="D26" i="2"/>
  <c r="D20" i="2"/>
  <c r="D13" i="2"/>
  <c r="G22" i="2"/>
</calcChain>
</file>

<file path=xl/comments1.xml><?xml version="1.0" encoding="utf-8"?>
<comments xmlns="http://schemas.openxmlformats.org/spreadsheetml/2006/main">
  <authors>
    <author>Full name</author>
  </authors>
  <commentList>
    <comment ref="A24" authorId="0">
      <text>
        <r>
          <rPr>
            <b/>
            <sz val="9"/>
            <color indexed="81"/>
            <rFont val="Tahoma"/>
            <family val="2"/>
          </rPr>
          <t xml:space="preserve">Spin-off from Seanergy Maritime
</t>
        </r>
      </text>
    </comment>
  </commentList>
</comments>
</file>

<file path=xl/sharedStrings.xml><?xml version="1.0" encoding="utf-8"?>
<sst xmlns="http://schemas.openxmlformats.org/spreadsheetml/2006/main" count="173" uniqueCount="105">
  <si>
    <t>VLCC</t>
  </si>
  <si>
    <t>Newbuild</t>
  </si>
  <si>
    <t>5y</t>
  </si>
  <si>
    <t>10y</t>
  </si>
  <si>
    <t>15y</t>
  </si>
  <si>
    <t>Suezmax</t>
  </si>
  <si>
    <t>20y</t>
  </si>
  <si>
    <t>Aframax</t>
  </si>
  <si>
    <t>LR2</t>
  </si>
  <si>
    <t>LR1</t>
  </si>
  <si>
    <t>Resale</t>
  </si>
  <si>
    <t>Scrap</t>
  </si>
  <si>
    <t>DRY BULK</t>
  </si>
  <si>
    <t>Capesize</t>
  </si>
  <si>
    <t>Panamax</t>
  </si>
  <si>
    <t>Supramax</t>
  </si>
  <si>
    <t>Price</t>
  </si>
  <si>
    <t>P/NAV</t>
  </si>
  <si>
    <t>Nordic American Tankers</t>
  </si>
  <si>
    <t>Ticket</t>
  </si>
  <si>
    <t>NAT</t>
  </si>
  <si>
    <t>Torm</t>
  </si>
  <si>
    <t>DHT</t>
  </si>
  <si>
    <t>Ardmore</t>
  </si>
  <si>
    <t>Frontline</t>
  </si>
  <si>
    <t>FRO</t>
  </si>
  <si>
    <t>NAV/Share</t>
  </si>
  <si>
    <t>TNK</t>
  </si>
  <si>
    <t>TRMD</t>
  </si>
  <si>
    <t>D´Amico</t>
  </si>
  <si>
    <t>DIS</t>
  </si>
  <si>
    <t>Okeanis</t>
  </si>
  <si>
    <t>OET</t>
  </si>
  <si>
    <t>INSW</t>
  </si>
  <si>
    <t>ASC</t>
  </si>
  <si>
    <t>Genco</t>
  </si>
  <si>
    <t>GNK</t>
  </si>
  <si>
    <t>Himalaya Shipping</t>
  </si>
  <si>
    <t>Currency</t>
  </si>
  <si>
    <t>$</t>
  </si>
  <si>
    <t>Imperial Petroleum</t>
  </si>
  <si>
    <t>IMPP</t>
  </si>
  <si>
    <t>Eurodry</t>
  </si>
  <si>
    <t>Div. Yield</t>
  </si>
  <si>
    <t>Teekay Tankers</t>
  </si>
  <si>
    <t>STNG</t>
  </si>
  <si>
    <t>Scorpio Tankers</t>
  </si>
  <si>
    <t>International Seaways</t>
  </si>
  <si>
    <t>SBLK</t>
  </si>
  <si>
    <t>StarBulk Carriers</t>
  </si>
  <si>
    <t>EDRY</t>
  </si>
  <si>
    <t>NewCastleMax</t>
  </si>
  <si>
    <t>Ultramax</t>
  </si>
  <si>
    <t>PostPanamax</t>
  </si>
  <si>
    <t>Kamsarmax</t>
  </si>
  <si>
    <t>Total Divi.</t>
  </si>
  <si>
    <t>Safe Bulkers</t>
  </si>
  <si>
    <t>SB</t>
  </si>
  <si>
    <t>DWT</t>
  </si>
  <si>
    <t>MR / MR2</t>
  </si>
  <si>
    <t>185 - 210k</t>
  </si>
  <si>
    <t>MR</t>
  </si>
  <si>
    <t>x</t>
  </si>
  <si>
    <t>NewcastleMax</t>
  </si>
  <si>
    <t>Cape</t>
  </si>
  <si>
    <t>Tankers</t>
  </si>
  <si>
    <t>Bulkers</t>
  </si>
  <si>
    <t>Name</t>
  </si>
  <si>
    <t>NewC.</t>
  </si>
  <si>
    <t>Performance Shipping</t>
  </si>
  <si>
    <t>PER</t>
  </si>
  <si>
    <t>EV/Adj. EBITDA</t>
  </si>
  <si>
    <t>HSHP</t>
  </si>
  <si>
    <t>Seanergy Maritime</t>
  </si>
  <si>
    <t>Pangaea Logistics Solutions</t>
  </si>
  <si>
    <t>PANL</t>
  </si>
  <si>
    <t>SHIP</t>
  </si>
  <si>
    <t>PSHG</t>
  </si>
  <si>
    <t>Pyxis Tankers</t>
  </si>
  <si>
    <t>PXS</t>
  </si>
  <si>
    <t>Diana Shipping</t>
  </si>
  <si>
    <t>DSX</t>
  </si>
  <si>
    <t>United Maritime Corp.</t>
  </si>
  <si>
    <t>USEA</t>
  </si>
  <si>
    <t>Tankers:</t>
  </si>
  <si>
    <t>Dry Bulk:</t>
  </si>
  <si>
    <t>Years</t>
  </si>
  <si>
    <t>50k - 59k</t>
  </si>
  <si>
    <t>200 -320K</t>
  </si>
  <si>
    <t>120 - 200k</t>
  </si>
  <si>
    <t>80 - 120k</t>
  </si>
  <si>
    <t>55 - 80k</t>
  </si>
  <si>
    <t>100 - 185k</t>
  </si>
  <si>
    <t>90 - 100k</t>
  </si>
  <si>
    <t>80 - 85k</t>
  </si>
  <si>
    <t>65k - 80k</t>
  </si>
  <si>
    <t>60 - 65k</t>
  </si>
  <si>
    <t>TANKERS</t>
  </si>
  <si>
    <t>Fleet Coef.</t>
  </si>
  <si>
    <t>40 - 55k</t>
  </si>
  <si>
    <t>€</t>
  </si>
  <si>
    <t>Post Panamax</t>
  </si>
  <si>
    <t>Post Pmax</t>
  </si>
  <si>
    <t>P/NAV and NAV/Share for Q3 2026</t>
  </si>
  <si>
    <t>EV/Adj. EBITDA, PER and Total Divi and Div. Yield, for NTM (Next Twelve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</si>
</sst>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0000"/>
    <numFmt numFmtId="168" formatCode="0.0000000"/>
    <numFmt numFmtId="169" formatCode="0.00000000"/>
    <numFmt numFmtId="170" formatCode="0.00_);\(0.00\)"/>
    <numFmt numFmtId="171" formatCode="0.0000_);\(0.0000\)"/>
    <numFmt numFmtId="172" formatCode="0.00\x"/>
    <numFmt numFmtId="173" formatCode="_-* #,##0.00_-;\-* #,##0.00_-;_-* &quot;-&quot;??_-;_-@_-"/>
    <numFmt numFmtId="174" formatCode="_ * #,##0.00_ ;_ * \-#,##0.00_ ;_ * &quot;-&quot;??_ ;_ @_ "/>
    <numFmt numFmtId="175" formatCode="_ &quot;kr.&quot;\ * #,##0.00_ ;_ &quot;kr.&quot;\ * \-#,##0.00_ ;_ &quot;kr.&quot;\ * &quot;-&quot;??_ ;_ @_ "/>
    <numFmt numFmtId="176" formatCode="#,##0.0_);\(#,##0.0\)"/>
    <numFmt numFmtId="177" formatCode="_-* #,##0.00\ _€_-;\-* #,##0.00\ _€_-;_-* &quot;-&quot;??\ _€_-;_-@_-"/>
    <numFmt numFmtId="178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sz val="8"/>
      <name val="Arial"/>
      <family val="2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2060"/>
      </bottom>
      <diagonal/>
    </border>
  </borders>
  <cellStyleXfs count="26">
    <xf numFmtId="0" fontId="0" fillId="0" borderId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9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10" fillId="6" borderId="0"/>
    <xf numFmtId="0" fontId="11" fillId="6" borderId="13">
      <alignment horizontal="right"/>
    </xf>
    <xf numFmtId="173" fontId="12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5" fillId="0" borderId="0"/>
    <xf numFmtId="0" fontId="13" fillId="0" borderId="0"/>
    <xf numFmtId="0" fontId="9" fillId="0" borderId="0"/>
    <xf numFmtId="4" fontId="14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0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0" fontId="0" fillId="0" borderId="0" xfId="0" applyBorder="1"/>
    <xf numFmtId="10" fontId="0" fillId="0" borderId="0" xfId="0" applyNumberFormat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6" fillId="4" borderId="0" xfId="0" applyNumberFormat="1" applyFont="1" applyFill="1" applyBorder="1" applyAlignment="1">
      <alignment horizontal="center"/>
    </xf>
    <xf numFmtId="164" fontId="6" fillId="4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Continuous"/>
    </xf>
    <xf numFmtId="2" fontId="0" fillId="0" borderId="0" xfId="0" applyNumberFormat="1"/>
    <xf numFmtId="0" fontId="2" fillId="0" borderId="0" xfId="0" applyFont="1" applyBorder="1"/>
    <xf numFmtId="165" fontId="0" fillId="0" borderId="0" xfId="0" applyNumberFormat="1" applyBorder="1"/>
    <xf numFmtId="1" fontId="0" fillId="0" borderId="0" xfId="0" applyNumberFormat="1" applyBorder="1"/>
    <xf numFmtId="2" fontId="2" fillId="0" borderId="0" xfId="0" applyNumberFormat="1" applyFont="1" applyBorder="1"/>
    <xf numFmtId="167" fontId="0" fillId="0" borderId="2" xfId="0" applyNumberFormat="1" applyBorder="1"/>
    <xf numFmtId="2" fontId="0" fillId="0" borderId="2" xfId="0" applyNumberFormat="1" applyBorder="1"/>
    <xf numFmtId="2" fontId="0" fillId="0" borderId="4" xfId="0" applyNumberFormat="1" applyBorder="1"/>
    <xf numFmtId="1" fontId="0" fillId="0" borderId="5" xfId="0" applyNumberFormat="1" applyBorder="1"/>
    <xf numFmtId="165" fontId="0" fillId="0" borderId="6" xfId="0" applyNumberFormat="1" applyBorder="1"/>
    <xf numFmtId="1" fontId="0" fillId="0" borderId="7" xfId="0" applyNumberFormat="1" applyBorder="1"/>
    <xf numFmtId="165" fontId="0" fillId="0" borderId="8" xfId="0" applyNumberFormat="1" applyBorder="1"/>
    <xf numFmtId="1" fontId="0" fillId="0" borderId="9" xfId="0" applyNumberFormat="1" applyBorder="1"/>
    <xf numFmtId="165" fontId="0" fillId="0" borderId="1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8" fontId="0" fillId="0" borderId="2" xfId="0" applyNumberFormat="1" applyBorder="1"/>
    <xf numFmtId="166" fontId="0" fillId="0" borderId="2" xfId="0" applyNumberFormat="1" applyBorder="1"/>
    <xf numFmtId="167" fontId="0" fillId="0" borderId="4" xfId="0" applyNumberFormat="1" applyBorder="1"/>
    <xf numFmtId="166" fontId="0" fillId="0" borderId="4" xfId="0" applyNumberFormat="1" applyBorder="1"/>
    <xf numFmtId="169" fontId="0" fillId="0" borderId="2" xfId="0" applyNumberFormat="1" applyBorder="1"/>
    <xf numFmtId="0" fontId="2" fillId="3" borderId="3" xfId="0" applyFont="1" applyFill="1" applyBorder="1"/>
    <xf numFmtId="2" fontId="2" fillId="3" borderId="3" xfId="0" applyNumberFormat="1" applyFont="1" applyFill="1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Continuous"/>
    </xf>
    <xf numFmtId="2" fontId="0" fillId="0" borderId="0" xfId="0" applyNumberFormat="1" applyAlignment="1">
      <alignment horizontal="center"/>
    </xf>
    <xf numFmtId="2" fontId="0" fillId="0" borderId="11" xfId="0" applyNumberFormat="1" applyBorder="1"/>
    <xf numFmtId="2" fontId="0" fillId="0" borderId="0" xfId="0" applyNumberFormat="1" applyBorder="1"/>
    <xf numFmtId="2" fontId="0" fillId="0" borderId="8" xfId="0" applyNumberFormat="1" applyBorder="1"/>
    <xf numFmtId="166" fontId="0" fillId="0" borderId="0" xfId="0" applyNumberFormat="1" applyBorder="1"/>
    <xf numFmtId="166" fontId="0" fillId="0" borderId="8" xfId="0" applyNumberFormat="1" applyBorder="1"/>
    <xf numFmtId="164" fontId="0" fillId="0" borderId="0" xfId="0" applyNumberFormat="1" applyBorder="1"/>
    <xf numFmtId="164" fontId="0" fillId="0" borderId="8" xfId="0" applyNumberFormat="1" applyBorder="1"/>
    <xf numFmtId="2" fontId="2" fillId="3" borderId="5" xfId="0" applyNumberFormat="1" applyFont="1" applyFill="1" applyBorder="1"/>
    <xf numFmtId="2" fontId="2" fillId="3" borderId="7" xfId="0" applyNumberFormat="1" applyFont="1" applyFill="1" applyBorder="1"/>
    <xf numFmtId="170" fontId="7" fillId="3" borderId="9" xfId="0" applyNumberFormat="1" applyFont="1" applyFill="1" applyBorder="1"/>
    <xf numFmtId="171" fontId="0" fillId="6" borderId="0" xfId="0" applyNumberFormat="1" applyFont="1" applyFill="1" applyBorder="1" applyAlignment="1">
      <alignment horizontal="right"/>
    </xf>
    <xf numFmtId="171" fontId="0" fillId="6" borderId="1" xfId="0" applyNumberFormat="1" applyFont="1" applyFill="1" applyBorder="1" applyAlignment="1">
      <alignment horizontal="right"/>
    </xf>
    <xf numFmtId="170" fontId="7" fillId="3" borderId="7" xfId="0" applyNumberFormat="1" applyFont="1" applyFill="1" applyBorder="1" applyAlignment="1">
      <alignment horizontal="left"/>
    </xf>
    <xf numFmtId="166" fontId="0" fillId="0" borderId="11" xfId="0" applyNumberFormat="1" applyBorder="1"/>
    <xf numFmtId="0" fontId="1" fillId="2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2" fillId="3" borderId="5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0" fillId="0" borderId="0" xfId="0" applyFill="1"/>
    <xf numFmtId="0" fontId="1" fillId="2" borderId="0" xfId="0" applyFont="1" applyFill="1" applyAlignment="1">
      <alignment horizontal="center"/>
    </xf>
    <xf numFmtId="172" fontId="0" fillId="0" borderId="0" xfId="0" applyNumberFormat="1" applyBorder="1" applyAlignment="1">
      <alignment horizontal="center"/>
    </xf>
    <xf numFmtId="172" fontId="0" fillId="0" borderId="0" xfId="0" applyNumberFormat="1" applyFont="1" applyBorder="1" applyAlignment="1">
      <alignment horizontal="center"/>
    </xf>
    <xf numFmtId="172" fontId="2" fillId="3" borderId="0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/>
    <xf numFmtId="2" fontId="2" fillId="0" borderId="0" xfId="0" applyNumberFormat="1" applyFont="1" applyFill="1" applyBorder="1"/>
    <xf numFmtId="167" fontId="0" fillId="0" borderId="0" xfId="0" applyNumberFormat="1" applyFill="1" applyBorder="1"/>
    <xf numFmtId="170" fontId="7" fillId="0" borderId="0" xfId="0" applyNumberFormat="1" applyFont="1" applyFill="1" applyBorder="1"/>
    <xf numFmtId="171" fontId="0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2" fontId="0" fillId="0" borderId="6" xfId="0" applyNumberFormat="1" applyBorder="1"/>
    <xf numFmtId="17" fontId="0" fillId="0" borderId="0" xfId="0" applyNumberFormat="1" applyFill="1" applyBorder="1"/>
    <xf numFmtId="0" fontId="1" fillId="2" borderId="1" xfId="0" applyFont="1" applyFill="1" applyBorder="1"/>
    <xf numFmtId="2" fontId="2" fillId="6" borderId="0" xfId="0" applyNumberFormat="1" applyFont="1" applyFill="1" applyBorder="1"/>
    <xf numFmtId="165" fontId="0" fillId="6" borderId="0" xfId="0" applyNumberFormat="1" applyFill="1" applyBorder="1"/>
    <xf numFmtId="0" fontId="2" fillId="6" borderId="0" xfId="0" applyFont="1" applyFill="1" applyBorder="1"/>
    <xf numFmtId="1" fontId="0" fillId="6" borderId="0" xfId="0" applyNumberFormat="1" applyFill="1" applyBorder="1"/>
    <xf numFmtId="167" fontId="0" fillId="6" borderId="0" xfId="0" applyNumberFormat="1" applyFill="1" applyBorder="1"/>
    <xf numFmtId="2" fontId="0" fillId="6" borderId="0" xfId="0" applyNumberFormat="1" applyFill="1" applyBorder="1"/>
    <xf numFmtId="0" fontId="1" fillId="2" borderId="1" xfId="0" applyFont="1" applyFill="1" applyBorder="1" applyAlignment="1">
      <alignment horizontal="center"/>
    </xf>
    <xf numFmtId="171" fontId="0" fillId="6" borderId="8" xfId="0" applyNumberFormat="1" applyFont="1" applyFill="1" applyBorder="1" applyAlignment="1">
      <alignment horizontal="right"/>
    </xf>
    <xf numFmtId="171" fontId="0" fillId="6" borderId="10" xfId="0" applyNumberFormat="1" applyFont="1" applyFill="1" applyBorder="1" applyAlignment="1">
      <alignment horizontal="right"/>
    </xf>
    <xf numFmtId="164" fontId="0" fillId="0" borderId="1" xfId="0" applyNumberFormat="1" applyBorder="1"/>
    <xf numFmtId="164" fontId="0" fillId="0" borderId="10" xfId="0" applyNumberFormat="1" applyBorder="1"/>
    <xf numFmtId="0" fontId="6" fillId="4" borderId="2" xfId="0" applyFont="1" applyFill="1" applyBorder="1" applyAlignment="1">
      <alignment horizontal="center"/>
    </xf>
    <xf numFmtId="2" fontId="6" fillId="4" borderId="2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Fill="1" applyBorder="1"/>
    <xf numFmtId="0" fontId="0" fillId="0" borderId="0" xfId="0" applyFont="1" applyBorder="1"/>
  </cellXfs>
  <cellStyles count="26">
    <cellStyle name="Comma 2" xfId="2"/>
    <cellStyle name="Comma 3" xfId="3"/>
    <cellStyle name="Comma 4" xfId="4"/>
    <cellStyle name="Comma 5" xfId="5"/>
    <cellStyle name="Comma 6" xfId="6"/>
    <cellStyle name="Comma 7" xfId="7"/>
    <cellStyle name="Comma 8" xfId="8"/>
    <cellStyle name="Comma_Q3" xfId="9"/>
    <cellStyle name="Currency 2" xfId="10"/>
    <cellStyle name="General" xfId="11"/>
    <cellStyle name="Header" xfId="12"/>
    <cellStyle name="Millares 2" xfId="1"/>
    <cellStyle name="Millares 3" xfId="13"/>
    <cellStyle name="Millares 4" xfId="14"/>
    <cellStyle name="Moneda 2" xfId="15"/>
    <cellStyle name="Normal" xfId="0" builtinId="0"/>
    <cellStyle name="Normal 12" xfId="16"/>
    <cellStyle name="Normal 2" xfId="17"/>
    <cellStyle name="Normal 2 2" xfId="18"/>
    <cellStyle name="Normal 2 3" xfId="19"/>
    <cellStyle name="Normal 2 4" xfId="20"/>
    <cellStyle name="Normal 3" xfId="21"/>
    <cellStyle name="Normal 3 2" xfId="22"/>
    <cellStyle name="Percent 2" xfId="23"/>
    <cellStyle name="Percent 2 2" xfId="24"/>
    <cellStyle name="Porcentaje 2" xfId="2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99"/>
      <color rgb="FFE1E164"/>
      <color rgb="FFE1E1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nies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O"/>
      <sheetName val="FRO"/>
      <sheetName val="DHT"/>
      <sheetName val="NAT"/>
      <sheetName val="TNK"/>
      <sheetName val="INSW"/>
      <sheetName val="TRMD"/>
      <sheetName val="STNG"/>
      <sheetName val="ASC"/>
      <sheetName val="DIS"/>
      <sheetName val="PSHG"/>
      <sheetName val="PXS"/>
      <sheetName val="IMPP"/>
      <sheetName val="HSHP"/>
      <sheetName val="SBLK"/>
      <sheetName val="GNK"/>
      <sheetName val="SB"/>
      <sheetName val="EDRY"/>
      <sheetName val="SHIP"/>
      <sheetName val="USEA"/>
      <sheetName val="PANL"/>
      <sheetName val="DSX"/>
    </sheetNames>
    <sheetDataSet>
      <sheetData sheetId="0">
        <row r="14">
          <cell r="P14">
            <v>46.798950677137299</v>
          </cell>
        </row>
        <row r="15">
          <cell r="O15">
            <v>2</v>
          </cell>
          <cell r="P15">
            <v>5.25</v>
          </cell>
          <cell r="Q15">
            <v>6.1941015229869496</v>
          </cell>
          <cell r="R15">
            <v>5.6021331729016426</v>
          </cell>
        </row>
        <row r="16">
          <cell r="P16">
            <v>1.4075101908680079</v>
          </cell>
        </row>
        <row r="19">
          <cell r="P19">
            <v>1</v>
          </cell>
        </row>
        <row r="36">
          <cell r="S36">
            <v>3.4060868873296211</v>
          </cell>
        </row>
        <row r="37">
          <cell r="S37">
            <v>3.7457143317197645</v>
          </cell>
        </row>
      </sheetData>
      <sheetData sheetId="1">
        <row r="14">
          <cell r="P14">
            <v>30.681238259055686</v>
          </cell>
        </row>
        <row r="15">
          <cell r="O15">
            <v>1.55</v>
          </cell>
          <cell r="P15">
            <v>3.0475724655583654</v>
          </cell>
          <cell r="Q15">
            <v>2.2951238865705701</v>
          </cell>
          <cell r="R15">
            <v>1.587433505859682</v>
          </cell>
        </row>
        <row r="16">
          <cell r="P16">
            <v>1.2908845306017891</v>
          </cell>
        </row>
        <row r="19">
          <cell r="P19">
            <v>1</v>
          </cell>
        </row>
        <row r="38">
          <cell r="R38">
            <v>5.3172820683779705</v>
          </cell>
        </row>
        <row r="39">
          <cell r="R39">
            <v>5.4121055057159282</v>
          </cell>
        </row>
      </sheetData>
      <sheetData sheetId="2">
        <row r="16">
          <cell r="P16">
            <v>16.499370949080237</v>
          </cell>
        </row>
        <row r="18">
          <cell r="P18">
            <v>1.1709537326983366</v>
          </cell>
        </row>
        <row r="21">
          <cell r="P21">
            <v>1</v>
          </cell>
        </row>
        <row r="36">
          <cell r="S36">
            <v>4.8646607623590921</v>
          </cell>
        </row>
        <row r="38">
          <cell r="S38">
            <v>4.4231079380243248</v>
          </cell>
        </row>
        <row r="39">
          <cell r="S39">
            <v>3.8675734442515943</v>
          </cell>
        </row>
      </sheetData>
      <sheetData sheetId="3">
        <row r="14">
          <cell r="O14">
            <v>4.6774822835633412</v>
          </cell>
        </row>
        <row r="15">
          <cell r="N15">
            <v>0.22</v>
          </cell>
          <cell r="O15">
            <v>0.22</v>
          </cell>
          <cell r="P15">
            <v>0.22</v>
          </cell>
          <cell r="Q15">
            <v>0.22</v>
          </cell>
        </row>
        <row r="16">
          <cell r="O16">
            <v>1.4027615828354731</v>
          </cell>
        </row>
        <row r="19">
          <cell r="O19">
            <v>1</v>
          </cell>
        </row>
        <row r="36">
          <cell r="Q36">
            <v>11.696757052284859</v>
          </cell>
        </row>
        <row r="37">
          <cell r="Q37">
            <v>8.3581078888482345</v>
          </cell>
        </row>
      </sheetData>
      <sheetData sheetId="4">
        <row r="14">
          <cell r="O14">
            <v>87.813585352300521</v>
          </cell>
        </row>
        <row r="16">
          <cell r="O16">
            <v>0.99346814789534732</v>
          </cell>
        </row>
        <row r="19">
          <cell r="O19">
            <v>1</v>
          </cell>
        </row>
        <row r="36">
          <cell r="R36">
            <v>2</v>
          </cell>
        </row>
        <row r="38">
          <cell r="R38">
            <v>6.1808363033282179</v>
          </cell>
        </row>
        <row r="39">
          <cell r="R39">
            <v>3.2294321988862262</v>
          </cell>
        </row>
      </sheetData>
      <sheetData sheetId="5">
        <row r="14">
          <cell r="O14">
            <v>64.489270737762368</v>
          </cell>
        </row>
        <row r="15">
          <cell r="N15">
            <v>4.55</v>
          </cell>
          <cell r="O15">
            <v>5.05</v>
          </cell>
          <cell r="P15">
            <v>3.0760416097336476</v>
          </cell>
          <cell r="Q15">
            <v>2.8917711073535179</v>
          </cell>
        </row>
        <row r="16">
          <cell r="O16">
            <v>1.5363796003043133</v>
          </cell>
        </row>
        <row r="19">
          <cell r="O19">
            <v>1</v>
          </cell>
        </row>
        <row r="40">
          <cell r="R40">
            <v>8.1613324963377458</v>
          </cell>
        </row>
        <row r="41">
          <cell r="R41">
            <v>6.2491780386452724</v>
          </cell>
        </row>
      </sheetData>
      <sheetData sheetId="6">
        <row r="14">
          <cell r="N14">
            <v>32.776152088147128</v>
          </cell>
        </row>
        <row r="16">
          <cell r="N16">
            <v>0.95770851671607893</v>
          </cell>
        </row>
        <row r="19">
          <cell r="N19">
            <v>1</v>
          </cell>
        </row>
        <row r="36">
          <cell r="Q36">
            <v>5.000803479304853</v>
          </cell>
        </row>
        <row r="38">
          <cell r="Q38">
            <v>6.0590944159049167</v>
          </cell>
        </row>
        <row r="39">
          <cell r="Q39">
            <v>3.6612763262986556</v>
          </cell>
        </row>
      </sheetData>
      <sheetData sheetId="7">
        <row r="14">
          <cell r="P14">
            <v>104.95615461953561</v>
          </cell>
        </row>
        <row r="16">
          <cell r="P16">
            <v>0.73602162998473053</v>
          </cell>
        </row>
        <row r="19">
          <cell r="P19">
            <v>1</v>
          </cell>
        </row>
        <row r="35">
          <cell r="S35">
            <v>1.8</v>
          </cell>
        </row>
        <row r="37">
          <cell r="S37">
            <v>10.481406822984876</v>
          </cell>
        </row>
        <row r="38">
          <cell r="S38">
            <v>3.8824469364441021</v>
          </cell>
        </row>
      </sheetData>
      <sheetData sheetId="8">
        <row r="14">
          <cell r="P14">
            <v>23.138490574120059</v>
          </cell>
        </row>
        <row r="16">
          <cell r="P16">
            <v>0.76409478584461887</v>
          </cell>
        </row>
        <row r="19">
          <cell r="P19">
            <v>1</v>
          </cell>
        </row>
        <row r="35">
          <cell r="S35">
            <v>2.252278551563653</v>
          </cell>
        </row>
        <row r="37">
          <cell r="S37">
            <v>6.2217014762848883</v>
          </cell>
        </row>
        <row r="38">
          <cell r="S38">
            <v>5.3959023009286335</v>
          </cell>
        </row>
      </sheetData>
      <sheetData sheetId="9">
        <row r="15">
          <cell r="O15">
            <v>9.1133758066942772</v>
          </cell>
        </row>
        <row r="16">
          <cell r="N16">
            <v>0.23490000000000003</v>
          </cell>
          <cell r="O16">
            <v>0</v>
          </cell>
          <cell r="P16">
            <v>0</v>
          </cell>
          <cell r="Q16">
            <v>0</v>
          </cell>
        </row>
        <row r="17">
          <cell r="O17">
            <v>0.79992311900987256</v>
          </cell>
        </row>
        <row r="20">
          <cell r="O20">
            <v>1</v>
          </cell>
        </row>
        <row r="38">
          <cell r="R38">
            <v>10.236372382548327</v>
          </cell>
        </row>
        <row r="39">
          <cell r="R39">
            <v>5.5373013189800018</v>
          </cell>
        </row>
      </sheetData>
      <sheetData sheetId="10">
        <row r="14">
          <cell r="P14">
            <v>14.795032789193561</v>
          </cell>
        </row>
        <row r="15"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P16">
            <v>0.1149034290239422</v>
          </cell>
        </row>
        <row r="19">
          <cell r="P19">
            <v>1</v>
          </cell>
        </row>
        <row r="35">
          <cell r="S35">
            <v>3.1561534379042206</v>
          </cell>
        </row>
        <row r="36">
          <cell r="S36">
            <v>2.29419083026804</v>
          </cell>
        </row>
      </sheetData>
      <sheetData sheetId="11">
        <row r="14">
          <cell r="P14">
            <v>15.756410260976443</v>
          </cell>
        </row>
        <row r="15"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P16">
            <v>0.33002440999386307</v>
          </cell>
        </row>
        <row r="19">
          <cell r="P19">
            <v>1</v>
          </cell>
        </row>
        <row r="36">
          <cell r="R36">
            <v>4.4646576771285593</v>
          </cell>
        </row>
        <row r="37">
          <cell r="R37">
            <v>2.8069942021889167</v>
          </cell>
        </row>
      </sheetData>
      <sheetData sheetId="12">
        <row r="14">
          <cell r="N14">
            <v>14.081969282438138</v>
          </cell>
        </row>
        <row r="15"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N16">
            <v>0.34725256829656642</v>
          </cell>
        </row>
        <row r="19">
          <cell r="N19">
            <v>1</v>
          </cell>
        </row>
        <row r="37">
          <cell r="P37">
            <v>1.5635120365487905</v>
          </cell>
        </row>
        <row r="38">
          <cell r="P38">
            <v>-0.16481814024512792</v>
          </cell>
        </row>
      </sheetData>
      <sheetData sheetId="13">
        <row r="14">
          <cell r="P14">
            <v>5.7045003696691525</v>
          </cell>
        </row>
        <row r="16">
          <cell r="P16">
            <v>2.8416160837132423</v>
          </cell>
        </row>
        <row r="19">
          <cell r="P19">
            <v>1</v>
          </cell>
        </row>
        <row r="34">
          <cell r="S34">
            <v>2.1803093394342716</v>
          </cell>
        </row>
        <row r="36">
          <cell r="S36">
            <v>7.9812095356839166</v>
          </cell>
        </row>
        <row r="37">
          <cell r="S37">
            <v>7.9870987054748142</v>
          </cell>
        </row>
      </sheetData>
      <sheetData sheetId="14">
        <row r="14">
          <cell r="O14">
            <v>33.015248527790646</v>
          </cell>
        </row>
        <row r="16">
          <cell r="O16">
            <v>0.92290687966052476</v>
          </cell>
        </row>
        <row r="19">
          <cell r="O19">
            <v>1</v>
          </cell>
        </row>
        <row r="35">
          <cell r="R35">
            <v>3.5287160604786192</v>
          </cell>
        </row>
        <row r="37">
          <cell r="R37">
            <v>4.9238374858602683</v>
          </cell>
        </row>
        <row r="38">
          <cell r="R38">
            <v>4.0588110323996842</v>
          </cell>
        </row>
      </sheetData>
      <sheetData sheetId="15">
        <row r="14">
          <cell r="P14">
            <v>26.830455925546104</v>
          </cell>
        </row>
        <row r="16">
          <cell r="P16">
            <v>0.95898482200228563</v>
          </cell>
        </row>
        <row r="19">
          <cell r="P19">
            <v>1</v>
          </cell>
        </row>
        <row r="33">
          <cell r="S33">
            <v>4.3894105867097091</v>
          </cell>
        </row>
        <row r="35">
          <cell r="S35">
            <v>2.9902079613578687</v>
          </cell>
        </row>
        <row r="36">
          <cell r="S36">
            <v>2.4124314172384795</v>
          </cell>
        </row>
      </sheetData>
      <sheetData sheetId="16">
        <row r="14">
          <cell r="O14">
            <v>11.184878124747595</v>
          </cell>
        </row>
        <row r="16">
          <cell r="O16">
            <v>0.75995463743077818</v>
          </cell>
        </row>
        <row r="19">
          <cell r="O19">
            <v>1</v>
          </cell>
        </row>
        <row r="33">
          <cell r="R33">
            <v>0.3</v>
          </cell>
        </row>
        <row r="35">
          <cell r="R35">
            <v>5.5238815958657135</v>
          </cell>
        </row>
        <row r="36">
          <cell r="R36">
            <v>4.8853182109267754</v>
          </cell>
        </row>
      </sheetData>
      <sheetData sheetId="17">
        <row r="14">
          <cell r="O14">
            <v>51.130324619935124</v>
          </cell>
        </row>
        <row r="16">
          <cell r="O16">
            <v>0.95990002732867985</v>
          </cell>
        </row>
        <row r="19">
          <cell r="O19">
            <v>1</v>
          </cell>
        </row>
        <row r="33">
          <cell r="R33">
            <v>0</v>
          </cell>
        </row>
        <row r="35">
          <cell r="R35">
            <v>4.1409024810407997</v>
          </cell>
        </row>
        <row r="36">
          <cell r="R36">
            <v>52.997464165839602</v>
          </cell>
        </row>
      </sheetData>
      <sheetData sheetId="18">
        <row r="14">
          <cell r="P14">
            <v>23.094160039534376</v>
          </cell>
        </row>
        <row r="16">
          <cell r="P16">
            <v>0.76123140958169466</v>
          </cell>
        </row>
        <row r="19">
          <cell r="P19">
            <v>1</v>
          </cell>
        </row>
        <row r="33">
          <cell r="S33">
            <v>1.0085433845227403</v>
          </cell>
        </row>
        <row r="35">
          <cell r="S35">
            <v>4.7905615690830539</v>
          </cell>
        </row>
        <row r="36">
          <cell r="S36">
            <v>3.9891742903677563</v>
          </cell>
        </row>
      </sheetData>
      <sheetData sheetId="19">
        <row r="14">
          <cell r="P14">
            <v>3.7445711188459061</v>
          </cell>
        </row>
        <row r="15">
          <cell r="O15">
            <v>0.1</v>
          </cell>
          <cell r="P15">
            <v>0.1</v>
          </cell>
          <cell r="Q15">
            <v>0.1</v>
          </cell>
          <cell r="R15">
            <v>0.1</v>
          </cell>
        </row>
        <row r="16">
          <cell r="P16">
            <v>0.74240811878525848</v>
          </cell>
        </row>
        <row r="19">
          <cell r="P19">
            <v>1</v>
          </cell>
        </row>
        <row r="35">
          <cell r="S35">
            <v>6.8482470139718599</v>
          </cell>
        </row>
        <row r="36">
          <cell r="S36">
            <v>4.9586922634572499</v>
          </cell>
        </row>
      </sheetData>
      <sheetData sheetId="20">
        <row r="14">
          <cell r="P14">
            <v>9.0092915476706832</v>
          </cell>
        </row>
        <row r="16">
          <cell r="P16">
            <v>0.8913020471710813</v>
          </cell>
        </row>
        <row r="19">
          <cell r="P19">
            <v>1</v>
          </cell>
        </row>
        <row r="33">
          <cell r="S33">
            <v>0.4</v>
          </cell>
        </row>
        <row r="35">
          <cell r="S35">
            <v>5.4743961100768015</v>
          </cell>
        </row>
        <row r="36">
          <cell r="S36">
            <v>3.9781975217480374</v>
          </cell>
        </row>
      </sheetData>
      <sheetData sheetId="21">
        <row r="14">
          <cell r="O14">
            <v>4.8834227703845903</v>
          </cell>
        </row>
        <row r="16">
          <cell r="O16">
            <v>0.55084315376367687</v>
          </cell>
        </row>
        <row r="19">
          <cell r="O19">
            <v>1</v>
          </cell>
        </row>
        <row r="33">
          <cell r="R33">
            <v>0.04</v>
          </cell>
        </row>
        <row r="35">
          <cell r="R35">
            <v>15.651928932347671</v>
          </cell>
        </row>
        <row r="36">
          <cell r="R36">
            <v>6.2013370703491191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K30"/>
  <sheetViews>
    <sheetView showGridLines="0" zoomScale="85" zoomScaleNormal="85" workbookViewId="0">
      <pane ySplit="1" topLeftCell="A2" activePane="bottomLeft" state="frozen"/>
      <selection pane="bottomLeft" activeCell="H32" sqref="H32"/>
    </sheetView>
  </sheetViews>
  <sheetFormatPr baseColWidth="10" defaultRowHeight="14.4" x14ac:dyDescent="0.3"/>
  <cols>
    <col min="1" max="1" width="25" bestFit="1" customWidth="1"/>
    <col min="2" max="2" width="7.21875" bestFit="1" customWidth="1"/>
    <col min="7" max="7" width="14.109375" bestFit="1" customWidth="1"/>
    <col min="8" max="8" width="9.88671875" customWidth="1"/>
    <col min="9" max="9" width="8.5546875" bestFit="1" customWidth="1"/>
    <col min="10" max="10" width="11.6640625" bestFit="1" customWidth="1"/>
    <col min="11" max="11" width="9.109375" bestFit="1" customWidth="1"/>
  </cols>
  <sheetData>
    <row r="1" spans="1:11" x14ac:dyDescent="0.3">
      <c r="A1" s="1" t="s">
        <v>67</v>
      </c>
      <c r="B1" s="5" t="s">
        <v>19</v>
      </c>
      <c r="C1" s="5" t="s">
        <v>16</v>
      </c>
      <c r="D1" s="5" t="s">
        <v>17</v>
      </c>
      <c r="E1" s="5" t="s">
        <v>26</v>
      </c>
      <c r="F1" s="69" t="s">
        <v>98</v>
      </c>
      <c r="G1" s="46" t="s">
        <v>71</v>
      </c>
      <c r="H1" s="63" t="s">
        <v>70</v>
      </c>
      <c r="I1" s="5" t="s">
        <v>38</v>
      </c>
      <c r="J1" s="5" t="s">
        <v>55</v>
      </c>
      <c r="K1" s="5" t="s">
        <v>43</v>
      </c>
    </row>
    <row r="2" spans="1:11" x14ac:dyDescent="0.3">
      <c r="A2" s="80" t="s">
        <v>31</v>
      </c>
      <c r="B2" s="8" t="s">
        <v>32</v>
      </c>
      <c r="C2" s="16">
        <v>65.87</v>
      </c>
      <c r="D2" s="14">
        <f>[1]ECO!$P$16</f>
        <v>1.4075101908680079</v>
      </c>
      <c r="E2" s="10">
        <f>[1]ECO!$P$14</f>
        <v>46.798950677137299</v>
      </c>
      <c r="F2" s="10">
        <f>[1]ECO!$P$19</f>
        <v>1</v>
      </c>
      <c r="G2" s="72">
        <f>[1]ECO!$S$37</f>
        <v>3.7457143317197645</v>
      </c>
      <c r="H2" s="72">
        <f>[1]ECO!$S$36</f>
        <v>3.4060868873296211</v>
      </c>
      <c r="I2" s="10" t="s">
        <v>39</v>
      </c>
      <c r="J2" s="10">
        <f>SUM([1]ECO!$O$15:$R$15)</f>
        <v>19.046234695888593</v>
      </c>
      <c r="K2" s="11">
        <f t="shared" ref="K2:K14" si="0">J2/C2</f>
        <v>0.28914884918610279</v>
      </c>
    </row>
    <row r="3" spans="1:11" x14ac:dyDescent="0.3">
      <c r="A3" s="80" t="s">
        <v>24</v>
      </c>
      <c r="B3" s="8" t="s">
        <v>25</v>
      </c>
      <c r="C3" s="16">
        <v>43.54</v>
      </c>
      <c r="D3" s="9">
        <f>[1]FRO!$P$16</f>
        <v>1.2908845306017891</v>
      </c>
      <c r="E3" s="10">
        <f>[1]FRO!$P$14+[1]FRO!$P$15</f>
        <v>33.72881072461405</v>
      </c>
      <c r="F3" s="10">
        <f>[1]FRO!$P$19</f>
        <v>1</v>
      </c>
      <c r="G3" s="72">
        <f>[1]FRO!$R$39</f>
        <v>5.4121055057159282</v>
      </c>
      <c r="H3" s="72">
        <f>[1]FRO!$R$38</f>
        <v>5.3172820683779705</v>
      </c>
      <c r="I3" s="10" t="s">
        <v>39</v>
      </c>
      <c r="J3" s="10">
        <f>SUM([1]FRO!$O$15:$R$15)</f>
        <v>8.4801298579886186</v>
      </c>
      <c r="K3" s="11">
        <f t="shared" si="0"/>
        <v>0.19476641841958242</v>
      </c>
    </row>
    <row r="4" spans="1:11" x14ac:dyDescent="0.3">
      <c r="A4" s="80" t="s">
        <v>22</v>
      </c>
      <c r="B4" s="8" t="s">
        <v>22</v>
      </c>
      <c r="C4" s="16">
        <v>19.32</v>
      </c>
      <c r="D4" s="9">
        <f>[1]DHT!$P$18</f>
        <v>1.1709537326983366</v>
      </c>
      <c r="E4" s="10">
        <f>[1]DHT!$P$16</f>
        <v>16.499370949080237</v>
      </c>
      <c r="F4" s="10">
        <f>[1]DHT!$P$21</f>
        <v>1</v>
      </c>
      <c r="G4" s="72">
        <f>[1]DHT!$S$39</f>
        <v>3.8675734442515943</v>
      </c>
      <c r="H4" s="72">
        <f>[1]DHT!$S$38</f>
        <v>4.4231079380243248</v>
      </c>
      <c r="I4" s="10" t="s">
        <v>39</v>
      </c>
      <c r="J4" s="10">
        <f>[1]DHT!$S$36</f>
        <v>4.8646607623590921</v>
      </c>
      <c r="K4" s="11">
        <f t="shared" si="0"/>
        <v>0.25179403531879357</v>
      </c>
    </row>
    <row r="5" spans="1:11" x14ac:dyDescent="0.3">
      <c r="A5" s="80" t="s">
        <v>18</v>
      </c>
      <c r="B5" s="8" t="s">
        <v>20</v>
      </c>
      <c r="C5" s="16">
        <v>6.87</v>
      </c>
      <c r="D5" s="9">
        <f>[1]NAT!$O$16</f>
        <v>1.4027615828354731</v>
      </c>
      <c r="E5" s="10">
        <f>[1]NAT!$O$14+[1]NAT!$O$15</f>
        <v>4.8974822835633409</v>
      </c>
      <c r="F5" s="10">
        <f>[1]NAT!$O$19</f>
        <v>1</v>
      </c>
      <c r="G5" s="72">
        <f>[1]NAT!$Q$37</f>
        <v>8.3581078888482345</v>
      </c>
      <c r="H5" s="72">
        <f>[1]NAT!$Q$36</f>
        <v>11.696757052284859</v>
      </c>
      <c r="I5" s="10" t="s">
        <v>39</v>
      </c>
      <c r="J5" s="10">
        <f>SUM([1]NAT!$N$15:$Q$15)</f>
        <v>0.88</v>
      </c>
      <c r="K5" s="11">
        <f t="shared" si="0"/>
        <v>0.12809315866084425</v>
      </c>
    </row>
    <row r="6" spans="1:11" x14ac:dyDescent="0.3">
      <c r="A6" s="80" t="s">
        <v>44</v>
      </c>
      <c r="B6" s="8" t="s">
        <v>27</v>
      </c>
      <c r="C6" s="16">
        <v>87.24</v>
      </c>
      <c r="D6" s="9">
        <f>[1]TNK!$O$16</f>
        <v>0.99346814789534732</v>
      </c>
      <c r="E6" s="15">
        <f>[1]TNK!$O$14</f>
        <v>87.813585352300521</v>
      </c>
      <c r="F6" s="15">
        <f>[1]TNK!$O$19</f>
        <v>1</v>
      </c>
      <c r="G6" s="72">
        <f>[1]TNK!$R$39</f>
        <v>3.2294321988862262</v>
      </c>
      <c r="H6" s="72">
        <f>[1]TNK!$R$38</f>
        <v>6.1808363033282179</v>
      </c>
      <c r="I6" s="10" t="s">
        <v>39</v>
      </c>
      <c r="J6" s="10">
        <f>[1]TNK!$R$36</f>
        <v>2</v>
      </c>
      <c r="K6" s="11">
        <f t="shared" si="0"/>
        <v>2.2925263640531868E-2</v>
      </c>
    </row>
    <row r="7" spans="1:11" x14ac:dyDescent="0.3">
      <c r="A7" s="80" t="s">
        <v>47</v>
      </c>
      <c r="B7" s="8" t="s">
        <v>33</v>
      </c>
      <c r="C7" s="16">
        <v>99.08</v>
      </c>
      <c r="D7" s="14">
        <f>[1]INSW!$O$16</f>
        <v>1.5363796003043133</v>
      </c>
      <c r="E7" s="15">
        <f>[1]INSW!$O$14</f>
        <v>64.489270737762368</v>
      </c>
      <c r="F7" s="15">
        <f>[1]INSW!$O$19</f>
        <v>1</v>
      </c>
      <c r="G7" s="72">
        <f>[1]INSW!$R$41</f>
        <v>6.2491780386452724</v>
      </c>
      <c r="H7" s="72">
        <f>[1]INSW!$R$40</f>
        <v>8.1613324963377458</v>
      </c>
      <c r="I7" s="10" t="s">
        <v>39</v>
      </c>
      <c r="J7" s="10">
        <f>SUM([1]INSW!$N$15:$Q$15)</f>
        <v>15.567812717087167</v>
      </c>
      <c r="K7" s="11">
        <f t="shared" si="0"/>
        <v>0.1571236648878398</v>
      </c>
    </row>
    <row r="8" spans="1:11" x14ac:dyDescent="0.3">
      <c r="A8" s="80" t="s">
        <v>21</v>
      </c>
      <c r="B8" s="8" t="s">
        <v>28</v>
      </c>
      <c r="C8" s="16">
        <v>31.39</v>
      </c>
      <c r="D8" s="9">
        <f>[1]TRMD!$N$16</f>
        <v>0.95770851671607893</v>
      </c>
      <c r="E8" s="10">
        <f>[1]TRMD!$N$14</f>
        <v>32.776152088147128</v>
      </c>
      <c r="F8" s="10">
        <f>[1]TRMD!$N$19</f>
        <v>1</v>
      </c>
      <c r="G8" s="72">
        <f>[1]TRMD!$Q$39</f>
        <v>3.6612763262986556</v>
      </c>
      <c r="H8" s="72">
        <f>[1]TRMD!$Q$38</f>
        <v>6.0590944159049167</v>
      </c>
      <c r="I8" s="10" t="s">
        <v>39</v>
      </c>
      <c r="J8" s="10">
        <f>[1]TRMD!$Q$36</f>
        <v>5.000803479304853</v>
      </c>
      <c r="K8" s="11">
        <f t="shared" si="0"/>
        <v>0.15931199360639864</v>
      </c>
    </row>
    <row r="9" spans="1:11" x14ac:dyDescent="0.3">
      <c r="A9" s="80" t="s">
        <v>46</v>
      </c>
      <c r="B9" s="8" t="s">
        <v>45</v>
      </c>
      <c r="C9" s="16">
        <v>77.25</v>
      </c>
      <c r="D9" s="14">
        <f>[1]STNG!$P$16</f>
        <v>0.73602162998473053</v>
      </c>
      <c r="E9" s="10">
        <f>[1]STNG!$P$14</f>
        <v>104.95615461953561</v>
      </c>
      <c r="F9" s="10">
        <f>[1]STNG!$P$19</f>
        <v>1</v>
      </c>
      <c r="G9" s="72">
        <f>[1]STNG!$S$38</f>
        <v>3.8824469364441021</v>
      </c>
      <c r="H9" s="72">
        <f>[1]STNG!$S$37</f>
        <v>10.481406822984876</v>
      </c>
      <c r="I9" s="10" t="s">
        <v>39</v>
      </c>
      <c r="J9" s="10">
        <f>[1]STNG!$S$35</f>
        <v>1.8</v>
      </c>
      <c r="K9" s="11">
        <f t="shared" si="0"/>
        <v>2.3300970873786409E-2</v>
      </c>
    </row>
    <row r="10" spans="1:11" x14ac:dyDescent="0.3">
      <c r="A10" s="80" t="s">
        <v>29</v>
      </c>
      <c r="B10" s="8" t="s">
        <v>30</v>
      </c>
      <c r="C10" s="17">
        <v>7.29</v>
      </c>
      <c r="D10" s="9">
        <f>[1]DIS!$O$17</f>
        <v>0.79992311900987256</v>
      </c>
      <c r="E10" s="10">
        <f>[1]DIS!$O$15</f>
        <v>9.1133758066942772</v>
      </c>
      <c r="F10" s="10">
        <f>[1]DIS!$O$20</f>
        <v>1</v>
      </c>
      <c r="G10" s="72">
        <f>[1]DIS!$R$39</f>
        <v>5.5373013189800018</v>
      </c>
      <c r="H10" s="72">
        <f>[1]DIS!$R$38</f>
        <v>10.236372382548327</v>
      </c>
      <c r="I10" s="74" t="s">
        <v>100</v>
      </c>
      <c r="J10" s="10">
        <f>SUM([1]DIS!$N$16:$Q$16)</f>
        <v>0.23490000000000003</v>
      </c>
      <c r="K10" s="11">
        <f t="shared" si="0"/>
        <v>3.2222222222222228E-2</v>
      </c>
    </row>
    <row r="11" spans="1:11" x14ac:dyDescent="0.3">
      <c r="A11" s="80" t="s">
        <v>23</v>
      </c>
      <c r="B11" s="8" t="s">
        <v>34</v>
      </c>
      <c r="C11" s="16">
        <v>17.68</v>
      </c>
      <c r="D11" s="9">
        <f>[1]ASC!$P$16</f>
        <v>0.76409478584461887</v>
      </c>
      <c r="E11" s="10">
        <f>[1]ASC!$P$14</f>
        <v>23.138490574120059</v>
      </c>
      <c r="F11" s="10">
        <f>[1]ASC!$P$19</f>
        <v>1</v>
      </c>
      <c r="G11" s="72">
        <f>[1]ASC!$S$38</f>
        <v>5.3959023009286335</v>
      </c>
      <c r="H11" s="72">
        <f>[1]ASC!$S$37</f>
        <v>6.2217014762848883</v>
      </c>
      <c r="I11" s="10" t="s">
        <v>39</v>
      </c>
      <c r="J11" s="10">
        <f>[1]ASC!$S$35</f>
        <v>2.252278551563653</v>
      </c>
      <c r="K11" s="11">
        <f t="shared" si="0"/>
        <v>0.12739132078979937</v>
      </c>
    </row>
    <row r="12" spans="1:11" x14ac:dyDescent="0.3">
      <c r="A12" s="80" t="s">
        <v>69</v>
      </c>
      <c r="B12" s="8" t="s">
        <v>77</v>
      </c>
      <c r="C12" s="16">
        <v>1.7</v>
      </c>
      <c r="D12" s="14">
        <f>[1]PSHG!$P$16</f>
        <v>0.1149034290239422</v>
      </c>
      <c r="E12" s="10">
        <f>[1]PSHG!$P$14+[1]PSHG!$P$15</f>
        <v>14.795032789193561</v>
      </c>
      <c r="F12" s="10">
        <f>[1]PSHG!$P$19</f>
        <v>1</v>
      </c>
      <c r="G12" s="72">
        <f>[1]PSHG!$S$36</f>
        <v>2.29419083026804</v>
      </c>
      <c r="H12" s="72">
        <f>[1]PSHG!$S$35</f>
        <v>3.1561534379042206</v>
      </c>
      <c r="I12" s="10" t="s">
        <v>39</v>
      </c>
      <c r="J12" s="10">
        <f>SUM([1]PSHG!$O$15:$R$15)</f>
        <v>0</v>
      </c>
      <c r="K12" s="11">
        <f t="shared" si="0"/>
        <v>0</v>
      </c>
    </row>
    <row r="13" spans="1:11" x14ac:dyDescent="0.3">
      <c r="A13" s="80" t="s">
        <v>78</v>
      </c>
      <c r="B13" s="8" t="s">
        <v>79</v>
      </c>
      <c r="C13" s="16">
        <v>5.2</v>
      </c>
      <c r="D13" s="14">
        <f>[1]PXS!$P$16</f>
        <v>0.33002440999386307</v>
      </c>
      <c r="E13" s="10">
        <f>[1]PXS!$P$14+[1]PXS!$P$15</f>
        <v>15.756410260976443</v>
      </c>
      <c r="F13" s="10">
        <f>[1]PXS!$P$19</f>
        <v>1</v>
      </c>
      <c r="G13" s="72">
        <f>[1]PXS!$R$37</f>
        <v>2.8069942021889167</v>
      </c>
      <c r="H13" s="72">
        <f>[1]PXS!$R$36</f>
        <v>4.4646576771285593</v>
      </c>
      <c r="I13" s="10" t="s">
        <v>39</v>
      </c>
      <c r="J13" s="10">
        <f>SUM([1]PXS!$O$15:$R$15)</f>
        <v>0</v>
      </c>
      <c r="K13" s="11">
        <f t="shared" si="0"/>
        <v>0</v>
      </c>
    </row>
    <row r="14" spans="1:11" x14ac:dyDescent="0.3">
      <c r="A14" s="80" t="s">
        <v>40</v>
      </c>
      <c r="B14" s="8" t="s">
        <v>41</v>
      </c>
      <c r="C14" s="17">
        <v>4.8899999999999997</v>
      </c>
      <c r="D14" s="14">
        <f>[1]IMPP!$N$16</f>
        <v>0.34725256829656642</v>
      </c>
      <c r="E14" s="10">
        <f>[1]IMPP!$N$14+[1]IMPP!$N$15</f>
        <v>14.081969282438138</v>
      </c>
      <c r="F14" s="10">
        <f>[1]IMPP!$N$19</f>
        <v>1</v>
      </c>
      <c r="G14" s="72">
        <f>[1]IMPP!$P$38</f>
        <v>-0.16481814024512792</v>
      </c>
      <c r="H14" s="72">
        <f>[1]IMPP!$P$37</f>
        <v>1.5635120365487905</v>
      </c>
      <c r="I14" s="10" t="s">
        <v>39</v>
      </c>
      <c r="J14" s="10">
        <f>SUM([1]IMPP!$M$15:$P$15)</f>
        <v>0</v>
      </c>
      <c r="K14" s="11">
        <f t="shared" si="0"/>
        <v>0</v>
      </c>
    </row>
    <row r="15" spans="1:11" x14ac:dyDescent="0.3">
      <c r="A15" s="104"/>
      <c r="B15" s="8"/>
      <c r="C15" s="15"/>
      <c r="D15" s="15"/>
      <c r="E15" s="10"/>
      <c r="F15" s="10"/>
      <c r="G15" s="70"/>
      <c r="H15" s="71"/>
      <c r="I15" s="10"/>
      <c r="J15" s="10"/>
      <c r="K15" s="11"/>
    </row>
    <row r="16" spans="1:11" x14ac:dyDescent="0.3">
      <c r="A16" s="104"/>
      <c r="B16" s="8"/>
      <c r="C16" s="15"/>
      <c r="D16" s="15"/>
      <c r="E16" s="10"/>
      <c r="F16" s="10"/>
      <c r="G16" s="70"/>
      <c r="H16" s="71"/>
      <c r="I16" s="10"/>
      <c r="J16" s="10"/>
      <c r="K16" s="11"/>
    </row>
    <row r="17" spans="1:11" x14ac:dyDescent="0.3">
      <c r="A17" s="104"/>
      <c r="B17" s="8"/>
      <c r="C17" s="15"/>
      <c r="D17" s="15"/>
      <c r="E17" s="10"/>
      <c r="F17" s="10"/>
      <c r="G17" s="70"/>
      <c r="H17" s="71"/>
      <c r="I17" s="10"/>
      <c r="J17" s="10"/>
      <c r="K17" s="11"/>
    </row>
    <row r="18" spans="1:11" x14ac:dyDescent="0.3">
      <c r="A18" s="80" t="s">
        <v>37</v>
      </c>
      <c r="B18" s="8" t="s">
        <v>72</v>
      </c>
      <c r="C18" s="16">
        <v>16.21</v>
      </c>
      <c r="D18" s="14">
        <f>[1]HSHP!$P$16</f>
        <v>2.8416160837132423</v>
      </c>
      <c r="E18" s="10">
        <f>[1]HSHP!$P$14</f>
        <v>5.7045003696691525</v>
      </c>
      <c r="F18" s="10">
        <f>[1]HSHP!$P$19</f>
        <v>1</v>
      </c>
      <c r="G18" s="72">
        <f>[1]HSHP!$S$37</f>
        <v>7.9870987054748142</v>
      </c>
      <c r="H18" s="72">
        <f>[1]HSHP!$S$36</f>
        <v>7.9812095356839166</v>
      </c>
      <c r="I18" s="10" t="s">
        <v>39</v>
      </c>
      <c r="J18" s="10">
        <f>[1]HSHP!$S$34</f>
        <v>2.1803093394342716</v>
      </c>
      <c r="K18" s="11">
        <f t="shared" ref="K18:K26" si="1">J18/C18</f>
        <v>0.13450396911994272</v>
      </c>
    </row>
    <row r="19" spans="1:11" x14ac:dyDescent="0.3">
      <c r="A19" s="80" t="s">
        <v>49</v>
      </c>
      <c r="B19" s="8" t="s">
        <v>48</v>
      </c>
      <c r="C19" s="16">
        <v>30.47</v>
      </c>
      <c r="D19" s="9">
        <f>[1]SBLK!$O$16</f>
        <v>0.92290687966052476</v>
      </c>
      <c r="E19" s="15">
        <f>[1]SBLK!$O$14</f>
        <v>33.015248527790646</v>
      </c>
      <c r="F19" s="15">
        <f>[1]SBLK!$O$19</f>
        <v>1</v>
      </c>
      <c r="G19" s="72">
        <f>[1]SBLK!$R$38</f>
        <v>4.0588110323996842</v>
      </c>
      <c r="H19" s="72">
        <f>[1]SBLK!$R$37</f>
        <v>4.9238374858602683</v>
      </c>
      <c r="I19" s="10" t="s">
        <v>39</v>
      </c>
      <c r="J19" s="10">
        <f>[1]SBLK!$R$35</f>
        <v>3.5287160604786192</v>
      </c>
      <c r="K19" s="11">
        <f t="shared" si="1"/>
        <v>0.11580951954311189</v>
      </c>
    </row>
    <row r="20" spans="1:11" x14ac:dyDescent="0.3">
      <c r="A20" s="80" t="s">
        <v>35</v>
      </c>
      <c r="B20" s="8" t="s">
        <v>36</v>
      </c>
      <c r="C20" s="16">
        <v>25.73</v>
      </c>
      <c r="D20" s="9">
        <f>[1]GNK!$P$16</f>
        <v>0.95898482200228563</v>
      </c>
      <c r="E20" s="10">
        <f>[1]GNK!$P$14</f>
        <v>26.830455925546104</v>
      </c>
      <c r="F20" s="10">
        <f>[1]GNK!$P$19</f>
        <v>1</v>
      </c>
      <c r="G20" s="72">
        <f>[1]GNK!$S$36</f>
        <v>2.4124314172384795</v>
      </c>
      <c r="H20" s="72">
        <f>[1]GNK!$S$35</f>
        <v>2.9902079613578687</v>
      </c>
      <c r="I20" s="10" t="s">
        <v>39</v>
      </c>
      <c r="J20" s="10">
        <f>[1]GNK!$S$33</f>
        <v>4.3894105867097091</v>
      </c>
      <c r="K20" s="11">
        <f t="shared" si="1"/>
        <v>0.17059504806489348</v>
      </c>
    </row>
    <row r="21" spans="1:11" x14ac:dyDescent="0.3">
      <c r="A21" s="80" t="s">
        <v>56</v>
      </c>
      <c r="B21" s="8" t="s">
        <v>57</v>
      </c>
      <c r="C21" s="16">
        <v>8.5</v>
      </c>
      <c r="D21" s="9">
        <f>[1]SB!$O$16</f>
        <v>0.75995463743077818</v>
      </c>
      <c r="E21" s="10">
        <f>[1]SB!$O$14</f>
        <v>11.184878124747595</v>
      </c>
      <c r="F21" s="10">
        <f>[1]SB!$O$19</f>
        <v>1</v>
      </c>
      <c r="G21" s="72">
        <f>[1]SB!$R$36</f>
        <v>4.8853182109267754</v>
      </c>
      <c r="H21" s="72">
        <f>[1]SB!$R$35</f>
        <v>5.5238815958657135</v>
      </c>
      <c r="I21" s="10" t="s">
        <v>39</v>
      </c>
      <c r="J21" s="10">
        <f>SUM([1]SB!$R$33)</f>
        <v>0.3</v>
      </c>
      <c r="K21" s="11">
        <f t="shared" si="1"/>
        <v>3.5294117647058823E-2</v>
      </c>
    </row>
    <row r="22" spans="1:11" x14ac:dyDescent="0.3">
      <c r="A22" s="20" t="s">
        <v>42</v>
      </c>
      <c r="B22" s="8" t="s">
        <v>50</v>
      </c>
      <c r="C22" s="16">
        <v>49.08</v>
      </c>
      <c r="D22" s="9">
        <f>[1]EDRY!$O$16</f>
        <v>0.95990002732867985</v>
      </c>
      <c r="E22" s="10">
        <f>[1]EDRY!$O$14</f>
        <v>51.130324619935124</v>
      </c>
      <c r="F22" s="10">
        <f>[1]EDRY!$O$19</f>
        <v>1</v>
      </c>
      <c r="G22" s="72">
        <f>[1]EDRY!$R$36</f>
        <v>52.997464165839602</v>
      </c>
      <c r="H22" s="72">
        <f>[1]EDRY!$R$35</f>
        <v>4.1409024810407997</v>
      </c>
      <c r="I22" s="10" t="s">
        <v>39</v>
      </c>
      <c r="J22" s="10">
        <f>[1]EDRY!$R$33</f>
        <v>0</v>
      </c>
      <c r="K22" s="11">
        <f t="shared" si="1"/>
        <v>0</v>
      </c>
    </row>
    <row r="23" spans="1:11" s="68" customFormat="1" x14ac:dyDescent="0.3">
      <c r="A23" s="80" t="s">
        <v>73</v>
      </c>
      <c r="B23" s="64" t="s">
        <v>76</v>
      </c>
      <c r="C23" s="16">
        <v>17.579999999999998</v>
      </c>
      <c r="D23" s="15">
        <f>[1]SHIP!$P$16</f>
        <v>0.76123140958169466</v>
      </c>
      <c r="E23" s="15">
        <f>[1]SHIP!$P$14</f>
        <v>23.094160039534376</v>
      </c>
      <c r="F23" s="15">
        <f>[1]SHIP!$P$19</f>
        <v>1</v>
      </c>
      <c r="G23" s="72">
        <f>[1]SHIP!$S$36</f>
        <v>3.9891742903677563</v>
      </c>
      <c r="H23" s="72">
        <f>[1]SHIP!$S$35</f>
        <v>4.7905615690830539</v>
      </c>
      <c r="I23" s="15" t="s">
        <v>39</v>
      </c>
      <c r="J23" s="15">
        <f>[1]SHIP!$S$33</f>
        <v>1.0085433845227403</v>
      </c>
      <c r="K23" s="11">
        <f t="shared" si="1"/>
        <v>5.7368793203796384E-2</v>
      </c>
    </row>
    <row r="24" spans="1:11" s="68" customFormat="1" x14ac:dyDescent="0.3">
      <c r="A24" s="80" t="s">
        <v>82</v>
      </c>
      <c r="B24" s="64" t="s">
        <v>83</v>
      </c>
      <c r="C24" s="16">
        <v>2.78</v>
      </c>
      <c r="D24" s="15">
        <f>[1]USEA!$P$16</f>
        <v>0.74240811878525848</v>
      </c>
      <c r="E24" s="15">
        <f>[1]USEA!$P$14</f>
        <v>3.7445711188459061</v>
      </c>
      <c r="F24" s="15">
        <f>[1]USEA!$P$19</f>
        <v>1</v>
      </c>
      <c r="G24" s="72">
        <f>[1]USEA!$S$36</f>
        <v>4.9586922634572499</v>
      </c>
      <c r="H24" s="72">
        <f>[1]USEA!$S$35</f>
        <v>6.8482470139718599</v>
      </c>
      <c r="I24" s="15" t="s">
        <v>39</v>
      </c>
      <c r="J24" s="15">
        <f>SUM([1]USEA!$O$15:$R$15)</f>
        <v>0.4</v>
      </c>
      <c r="K24" s="11">
        <f t="shared" si="1"/>
        <v>0.14388489208633096</v>
      </c>
    </row>
    <row r="25" spans="1:11" s="68" customFormat="1" x14ac:dyDescent="0.3">
      <c r="A25" s="80" t="s">
        <v>74</v>
      </c>
      <c r="B25" s="64" t="s">
        <v>75</v>
      </c>
      <c r="C25" s="16">
        <v>8.0299999999999994</v>
      </c>
      <c r="D25" s="15">
        <f>[1]PANL!$P$16</f>
        <v>0.8913020471710813</v>
      </c>
      <c r="E25" s="15">
        <f>[1]PANL!$P$14</f>
        <v>9.0092915476706832</v>
      </c>
      <c r="F25" s="15">
        <f>[1]PANL!$P$19</f>
        <v>1</v>
      </c>
      <c r="G25" s="72">
        <f>[1]PANL!$S$36</f>
        <v>3.9781975217480374</v>
      </c>
      <c r="H25" s="72">
        <f>[1]PANL!$S$35</f>
        <v>5.4743961100768015</v>
      </c>
      <c r="I25" s="15" t="s">
        <v>39</v>
      </c>
      <c r="J25" s="15">
        <f>[1]PANL!$S$33</f>
        <v>0.4</v>
      </c>
      <c r="K25" s="11">
        <f t="shared" si="1"/>
        <v>4.981320049813201E-2</v>
      </c>
    </row>
    <row r="26" spans="1:11" s="68" customFormat="1" x14ac:dyDescent="0.3">
      <c r="A26" s="80" t="s">
        <v>80</v>
      </c>
      <c r="B26" s="64" t="s">
        <v>81</v>
      </c>
      <c r="C26" s="16">
        <v>2.69</v>
      </c>
      <c r="D26" s="15">
        <f>[1]DSX!$O$16</f>
        <v>0.55084315376367687</v>
      </c>
      <c r="E26" s="15">
        <f>[1]DSX!$O$14</f>
        <v>4.8834227703845903</v>
      </c>
      <c r="F26" s="15">
        <f>[1]DSX!$O$19</f>
        <v>1</v>
      </c>
      <c r="G26" s="72">
        <f>[1]DSX!$R$36</f>
        <v>6.2013370703491191</v>
      </c>
      <c r="H26" s="72">
        <f>[1]DSX!$R$35</f>
        <v>15.651928932347671</v>
      </c>
      <c r="I26" s="15" t="s">
        <v>39</v>
      </c>
      <c r="J26" s="15">
        <f>[1]DSX!$R$33</f>
        <v>0.04</v>
      </c>
      <c r="K26" s="11">
        <f t="shared" si="1"/>
        <v>1.4869888475836432E-2</v>
      </c>
    </row>
    <row r="27" spans="1:11" x14ac:dyDescent="0.3">
      <c r="A27" s="12"/>
      <c r="B27" s="8"/>
      <c r="C27" s="15"/>
      <c r="D27" s="15"/>
      <c r="E27" s="10"/>
      <c r="F27" s="10"/>
      <c r="G27" s="10"/>
      <c r="H27" s="10"/>
      <c r="I27" s="10"/>
      <c r="J27" s="10"/>
      <c r="K27" s="13"/>
    </row>
    <row r="28" spans="1:11" x14ac:dyDescent="0.3">
      <c r="A28" s="12"/>
      <c r="B28" s="8"/>
      <c r="C28" s="15"/>
      <c r="D28" s="15"/>
      <c r="E28" s="10"/>
      <c r="F28" s="10"/>
      <c r="G28" s="73"/>
      <c r="H28" s="73"/>
      <c r="I28" s="10"/>
      <c r="J28" s="10"/>
      <c r="K28" s="13"/>
    </row>
    <row r="29" spans="1:11" x14ac:dyDescent="0.3">
      <c r="A29" s="80" t="s">
        <v>103</v>
      </c>
    </row>
    <row r="30" spans="1:11" x14ac:dyDescent="0.3">
      <c r="A30" s="80" t="s">
        <v>104</v>
      </c>
    </row>
  </sheetData>
  <conditionalFormatting sqref="D6 D20:D26 D12:D14 D9">
    <cfRule type="cellIs" dxfId="24" priority="54" operator="lessThan">
      <formula>0.9</formula>
    </cfRule>
    <cfRule type="cellIs" dxfId="23" priority="55" operator="greaterThan">
      <formula>0.89</formula>
    </cfRule>
  </conditionalFormatting>
  <conditionalFormatting sqref="K19:K20 K2:K14">
    <cfRule type="cellIs" dxfId="22" priority="53" operator="greaterThan">
      <formula>0.1499</formula>
    </cfRule>
  </conditionalFormatting>
  <conditionalFormatting sqref="K18:K26 K2:K14">
    <cfRule type="cellIs" dxfId="21" priority="52" operator="greaterThan">
      <formula>0.0999</formula>
    </cfRule>
  </conditionalFormatting>
  <conditionalFormatting sqref="D14">
    <cfRule type="cellIs" dxfId="20" priority="49" operator="greaterThan">
      <formula>0.35</formula>
    </cfRule>
  </conditionalFormatting>
  <conditionalFormatting sqref="D6">
    <cfRule type="cellIs" dxfId="19" priority="47" operator="greaterThan">
      <formula>0.84</formula>
    </cfRule>
  </conditionalFormatting>
  <conditionalFormatting sqref="D19">
    <cfRule type="cellIs" dxfId="18" priority="44" operator="lessThan">
      <formula>1</formula>
    </cfRule>
    <cfRule type="cellIs" dxfId="17" priority="45" operator="greaterThan">
      <formula>0.99</formula>
    </cfRule>
  </conditionalFormatting>
  <conditionalFormatting sqref="D10">
    <cfRule type="cellIs" dxfId="16" priority="36" operator="lessThan">
      <formula>1</formula>
    </cfRule>
    <cfRule type="cellIs" dxfId="15" priority="37" operator="greaterThan">
      <formula>0.99</formula>
    </cfRule>
  </conditionalFormatting>
  <conditionalFormatting sqref="D5">
    <cfRule type="cellIs" dxfId="14" priority="31" operator="lessThan">
      <formula>1</formula>
    </cfRule>
    <cfRule type="cellIs" dxfId="13" priority="32" operator="greaterThan">
      <formula>0.99</formula>
    </cfRule>
  </conditionalFormatting>
  <conditionalFormatting sqref="D4">
    <cfRule type="cellIs" dxfId="12" priority="25" operator="lessThan">
      <formula>1</formula>
    </cfRule>
    <cfRule type="cellIs" dxfId="11" priority="26" operator="greaterThan">
      <formula>0.99</formula>
    </cfRule>
  </conditionalFormatting>
  <conditionalFormatting sqref="D18">
    <cfRule type="cellIs" dxfId="10" priority="14" operator="lessThan">
      <formula>1</formula>
    </cfRule>
    <cfRule type="cellIs" dxfId="9" priority="15" operator="greaterThan">
      <formula>0.99</formula>
    </cfRule>
  </conditionalFormatting>
  <conditionalFormatting sqref="D11">
    <cfRule type="cellIs" dxfId="8" priority="12" operator="lessThan">
      <formula>1</formula>
    </cfRule>
    <cfRule type="cellIs" dxfId="7" priority="13" operator="greaterThan">
      <formula>0.99</formula>
    </cfRule>
  </conditionalFormatting>
  <conditionalFormatting sqref="K18">
    <cfRule type="cellIs" dxfId="6" priority="7" operator="greaterThan">
      <formula>0.1</formula>
    </cfRule>
  </conditionalFormatting>
  <conditionalFormatting sqref="D8">
    <cfRule type="cellIs" dxfId="5" priority="5" operator="lessThan">
      <formula>1</formula>
    </cfRule>
    <cfRule type="cellIs" dxfId="4" priority="6" operator="greaterThan">
      <formula>0.99</formula>
    </cfRule>
  </conditionalFormatting>
  <conditionalFormatting sqref="D2:D3">
    <cfRule type="cellIs" dxfId="3" priority="3" operator="lessThan">
      <formula>1</formula>
    </cfRule>
    <cfRule type="cellIs" dxfId="2" priority="4" operator="greaterThan">
      <formula>0.99</formula>
    </cfRule>
  </conditionalFormatting>
  <conditionalFormatting sqref="D7">
    <cfRule type="cellIs" dxfId="1" priority="1" operator="lessThan">
      <formula>0.99</formula>
    </cfRule>
    <cfRule type="cellIs" dxfId="0" priority="2" operator="greaterThan">
      <formula>0.99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X96"/>
  <sheetViews>
    <sheetView showGridLines="0" tabSelected="1" topLeftCell="A25" zoomScaleNormal="100" workbookViewId="0">
      <selection activeCell="G40" sqref="G40"/>
    </sheetView>
  </sheetViews>
  <sheetFormatPr baseColWidth="10" defaultRowHeight="14.4" x14ac:dyDescent="0.3"/>
  <cols>
    <col min="1" max="1" width="2.77734375" style="6" customWidth="1"/>
    <col min="2" max="2" width="13.44140625" bestFit="1" customWidth="1"/>
    <col min="3" max="6" width="12.6640625" bestFit="1" customWidth="1"/>
    <col min="9" max="9" width="10" customWidth="1"/>
    <col min="10" max="10" width="13.88671875" bestFit="1" customWidth="1"/>
    <col min="11" max="11" width="11.33203125" customWidth="1"/>
    <col min="14" max="14" width="10" customWidth="1"/>
    <col min="15" max="15" width="9.88671875" customWidth="1"/>
    <col min="16" max="16" width="11.109375" customWidth="1"/>
    <col min="17" max="17" width="10" bestFit="1" customWidth="1"/>
    <col min="18" max="18" width="9.44140625" bestFit="1" customWidth="1"/>
  </cols>
  <sheetData>
    <row r="1" spans="1:18" ht="15" thickBot="1" x14ac:dyDescent="0.35">
      <c r="A1" s="6" t="s">
        <v>62</v>
      </c>
      <c r="B1" s="83" t="s">
        <v>97</v>
      </c>
      <c r="C1" s="90" t="s">
        <v>1</v>
      </c>
      <c r="D1" s="90" t="s">
        <v>10</v>
      </c>
      <c r="E1" s="90" t="s">
        <v>2</v>
      </c>
      <c r="F1" s="90" t="s">
        <v>3</v>
      </c>
      <c r="G1" s="90" t="s">
        <v>4</v>
      </c>
      <c r="H1" s="90" t="s">
        <v>6</v>
      </c>
      <c r="I1" s="90" t="s">
        <v>11</v>
      </c>
      <c r="J1" s="7" t="s">
        <v>58</v>
      </c>
    </row>
    <row r="2" spans="1:18" ht="15" thickBot="1" x14ac:dyDescent="0.35">
      <c r="B2" s="4" t="s">
        <v>0</v>
      </c>
      <c r="C2" s="95">
        <v>124.1</v>
      </c>
      <c r="D2" s="96">
        <f t="shared" ref="D2:D5" si="0">E2*1.08</f>
        <v>156.16800000000001</v>
      </c>
      <c r="E2" s="95">
        <v>144.6</v>
      </c>
      <c r="F2" s="95">
        <v>112.7</v>
      </c>
      <c r="G2" s="95">
        <v>81.400000000000006</v>
      </c>
      <c r="H2" s="95">
        <v>71.400000000000006</v>
      </c>
      <c r="I2" s="95">
        <v>22</v>
      </c>
      <c r="J2" s="97" t="s">
        <v>88</v>
      </c>
      <c r="K2" s="80"/>
      <c r="L2" s="75"/>
      <c r="M2" s="75"/>
    </row>
    <row r="3" spans="1:18" ht="15" thickBot="1" x14ac:dyDescent="0.35">
      <c r="B3" s="4" t="s">
        <v>5</v>
      </c>
      <c r="C3" s="95">
        <v>84.6</v>
      </c>
      <c r="D3" s="96">
        <f t="shared" si="0"/>
        <v>105.94800000000001</v>
      </c>
      <c r="E3" s="95">
        <v>98.1</v>
      </c>
      <c r="F3" s="95">
        <v>81.3</v>
      </c>
      <c r="G3" s="95">
        <v>57.8</v>
      </c>
      <c r="H3" s="95">
        <v>51.3</v>
      </c>
      <c r="I3" s="95">
        <v>11</v>
      </c>
      <c r="J3" s="97" t="s">
        <v>89</v>
      </c>
    </row>
    <row r="4" spans="1:18" ht="15" thickBot="1" x14ac:dyDescent="0.35">
      <c r="B4" s="4" t="s">
        <v>7</v>
      </c>
      <c r="C4" s="95">
        <v>73</v>
      </c>
      <c r="D4" s="96">
        <f t="shared" si="0"/>
        <v>84.888000000000005</v>
      </c>
      <c r="E4" s="95">
        <v>78.599999999999994</v>
      </c>
      <c r="F4" s="95">
        <v>64.900000000000006</v>
      </c>
      <c r="G4" s="95">
        <v>45.2</v>
      </c>
      <c r="H4" s="95">
        <v>35.799999999999997</v>
      </c>
      <c r="I4" s="95">
        <v>8</v>
      </c>
      <c r="J4" s="97" t="s">
        <v>90</v>
      </c>
    </row>
    <row r="5" spans="1:18" ht="15" thickBot="1" x14ac:dyDescent="0.35">
      <c r="B5" s="4" t="s">
        <v>8</v>
      </c>
      <c r="C5" s="95">
        <v>72.5</v>
      </c>
      <c r="D5" s="96">
        <f t="shared" si="0"/>
        <v>85.427999999999997</v>
      </c>
      <c r="E5" s="95">
        <v>79.099999999999994</v>
      </c>
      <c r="F5" s="95">
        <v>65.400000000000006</v>
      </c>
      <c r="G5" s="95">
        <v>45.7</v>
      </c>
      <c r="H5" s="95">
        <v>36.299999999999997</v>
      </c>
      <c r="I5" s="95">
        <v>9</v>
      </c>
      <c r="J5" s="97" t="s">
        <v>90</v>
      </c>
    </row>
    <row r="6" spans="1:18" ht="15" thickBot="1" x14ac:dyDescent="0.35">
      <c r="B6" s="4" t="s">
        <v>9</v>
      </c>
      <c r="C6" s="95">
        <v>55.4</v>
      </c>
      <c r="D6" s="96">
        <f>E6*1.14</f>
        <v>57.113999999999997</v>
      </c>
      <c r="E6" s="95">
        <v>50.1</v>
      </c>
      <c r="F6" s="95">
        <v>39.4</v>
      </c>
      <c r="G6" s="95">
        <v>26.9</v>
      </c>
      <c r="H6" s="95">
        <v>18.899999999999999</v>
      </c>
      <c r="I6" s="95">
        <v>6</v>
      </c>
      <c r="J6" s="97" t="s">
        <v>91</v>
      </c>
    </row>
    <row r="7" spans="1:18" ht="15" thickBot="1" x14ac:dyDescent="0.35">
      <c r="B7" s="4" t="s">
        <v>59</v>
      </c>
      <c r="C7" s="95">
        <v>46.6</v>
      </c>
      <c r="D7" s="96">
        <f>E7*1.14</f>
        <v>53.35199999999999</v>
      </c>
      <c r="E7" s="95">
        <v>46.8</v>
      </c>
      <c r="F7" s="95">
        <v>36.4</v>
      </c>
      <c r="G7" s="95">
        <v>23.8</v>
      </c>
      <c r="H7" s="95">
        <v>16.3</v>
      </c>
      <c r="I7" s="95">
        <v>5</v>
      </c>
      <c r="J7" s="97" t="s">
        <v>99</v>
      </c>
    </row>
    <row r="9" spans="1:18" ht="15" thickBot="1" x14ac:dyDescent="0.35"/>
    <row r="10" spans="1:18" ht="15" thickBot="1" x14ac:dyDescent="0.35">
      <c r="B10" s="44" t="s">
        <v>0</v>
      </c>
      <c r="C10" s="43">
        <f t="array" ref="C10:F10">LINEST(D11:D16,C11:C16^{1,2,3},1,1)</f>
        <v>-2.4622222222222419E-3</v>
      </c>
      <c r="D10" s="24">
        <v>1.9790476190476875E-2</v>
      </c>
      <c r="E10" s="25">
        <v>-4.2968253968254029</v>
      </c>
      <c r="F10" s="26">
        <v>158.76133333333334</v>
      </c>
      <c r="H10" s="44" t="s">
        <v>5</v>
      </c>
      <c r="I10" s="39">
        <f t="array" ref="I10:L10">LINEST(J11:J16,I11:I16^{1,2,3},1,1)</f>
        <v>-3.9362962962962988E-3</v>
      </c>
      <c r="J10" s="40">
        <v>6.1139682539682688E-2</v>
      </c>
      <c r="K10" s="25">
        <v>-2.8357671957671973</v>
      </c>
      <c r="L10" s="26">
        <v>107.46196825396825</v>
      </c>
      <c r="N10" s="44" t="s">
        <v>7</v>
      </c>
      <c r="O10" s="24">
        <f t="array" ref="O10:R10">LINEST(P11:P16,O11:O16^{1,2,3},1,1)</f>
        <v>-4.4740740740741453E-4</v>
      </c>
      <c r="P10" s="24">
        <v>-4.7765079365079087E-2</v>
      </c>
      <c r="Q10" s="24">
        <v>-1.5827513227513246</v>
      </c>
      <c r="R10" s="41">
        <v>85.725777777777765</v>
      </c>
    </row>
    <row r="11" spans="1:18" x14ac:dyDescent="0.3">
      <c r="C11" s="33">
        <v>0</v>
      </c>
      <c r="D11" s="34">
        <f>D2</f>
        <v>156.16800000000001</v>
      </c>
      <c r="I11" s="33">
        <v>0</v>
      </c>
      <c r="J11" s="81">
        <f>D3</f>
        <v>105.94800000000001</v>
      </c>
      <c r="O11" s="35">
        <v>0</v>
      </c>
      <c r="P11" s="51">
        <f>D4</f>
        <v>84.888000000000005</v>
      </c>
    </row>
    <row r="12" spans="1:18" x14ac:dyDescent="0.3">
      <c r="C12" s="35">
        <v>5</v>
      </c>
      <c r="D12" s="36">
        <f>E2</f>
        <v>144.6</v>
      </c>
      <c r="I12" s="35">
        <v>5</v>
      </c>
      <c r="J12" s="36">
        <f>E3</f>
        <v>98.1</v>
      </c>
      <c r="O12" s="35">
        <v>5</v>
      </c>
      <c r="P12" s="36">
        <f>E4</f>
        <v>78.599999999999994</v>
      </c>
    </row>
    <row r="13" spans="1:18" x14ac:dyDescent="0.3">
      <c r="C13" s="35">
        <v>10</v>
      </c>
      <c r="D13" s="36">
        <f>F2</f>
        <v>112.7</v>
      </c>
      <c r="I13" s="35">
        <v>10</v>
      </c>
      <c r="J13" s="36">
        <f>F3</f>
        <v>81.3</v>
      </c>
      <c r="O13" s="35">
        <v>10</v>
      </c>
      <c r="P13" s="36">
        <f>F4</f>
        <v>64.900000000000006</v>
      </c>
    </row>
    <row r="14" spans="1:18" x14ac:dyDescent="0.3">
      <c r="C14" s="35">
        <v>15</v>
      </c>
      <c r="D14" s="36">
        <f>G2</f>
        <v>81.400000000000006</v>
      </c>
      <c r="I14" s="35">
        <v>15</v>
      </c>
      <c r="J14" s="36">
        <f>G3</f>
        <v>57.8</v>
      </c>
      <c r="O14" s="35">
        <v>15</v>
      </c>
      <c r="P14" s="36">
        <f>G4</f>
        <v>45.2</v>
      </c>
    </row>
    <row r="15" spans="1:18" x14ac:dyDescent="0.3">
      <c r="C15" s="35">
        <v>20</v>
      </c>
      <c r="D15" s="36">
        <f>H2</f>
        <v>71.400000000000006</v>
      </c>
      <c r="I15" s="35">
        <v>20</v>
      </c>
      <c r="J15" s="36">
        <f>H3</f>
        <v>51.3</v>
      </c>
      <c r="O15" s="35">
        <v>20</v>
      </c>
      <c r="P15" s="36">
        <f>H4</f>
        <v>35.799999999999997</v>
      </c>
    </row>
    <row r="16" spans="1:18" ht="15" thickBot="1" x14ac:dyDescent="0.35">
      <c r="C16" s="37">
        <v>25</v>
      </c>
      <c r="D16" s="38">
        <f>I2</f>
        <v>22</v>
      </c>
      <c r="I16" s="37">
        <v>25</v>
      </c>
      <c r="J16" s="38">
        <f>I3</f>
        <v>11</v>
      </c>
      <c r="O16" s="37">
        <v>25</v>
      </c>
      <c r="P16" s="38">
        <f>I4</f>
        <v>8</v>
      </c>
    </row>
    <row r="18" spans="1:24" ht="15" thickBot="1" x14ac:dyDescent="0.35"/>
    <row r="19" spans="1:24" s="19" customFormat="1" ht="15" thickBot="1" x14ac:dyDescent="0.35">
      <c r="A19" s="48"/>
      <c r="B19" s="45" t="s">
        <v>8</v>
      </c>
      <c r="C19" s="24">
        <f t="array" ref="C19:F19">LINEST(D20:D25,C20:C25^{1,2,3},1,1)</f>
        <v>-2.7703703703703598E-4</v>
      </c>
      <c r="D19" s="24">
        <v>-5.2225396825396973E-2</v>
      </c>
      <c r="E19" s="24">
        <v>-1.5594708994708968</v>
      </c>
      <c r="F19" s="41">
        <v>86.248317460317452</v>
      </c>
      <c r="H19" s="45" t="s">
        <v>9</v>
      </c>
      <c r="I19" s="40">
        <f t="array" ref="I19:L19">LINEST(J20:J25,I20:I25^{1,2,3},1,1)</f>
        <v>9.5037037037037767E-4</v>
      </c>
      <c r="J19" s="40">
        <v>-4.8946031746032015E-2</v>
      </c>
      <c r="K19" s="40">
        <v>-1.4085052910052882</v>
      </c>
      <c r="L19" s="42">
        <v>57.43725396825397</v>
      </c>
      <c r="N19" s="45" t="s">
        <v>61</v>
      </c>
      <c r="O19" s="40">
        <f t="array" ref="O19:R19">LINEST(P20:P25,O20:O25^{1,2,3},1,1)</f>
        <v>1.6400000000000069E-3</v>
      </c>
      <c r="P19" s="40">
        <v>-7.017142857142894E-2</v>
      </c>
      <c r="Q19" s="40">
        <v>-1.1978571428571374</v>
      </c>
      <c r="R19" s="42">
        <v>53.641999999999996</v>
      </c>
      <c r="T19" s="76"/>
      <c r="U19" s="77"/>
      <c r="V19" s="77"/>
      <c r="W19" s="77"/>
      <c r="X19" s="77"/>
    </row>
    <row r="20" spans="1:24" x14ac:dyDescent="0.3">
      <c r="C20" s="35">
        <v>0</v>
      </c>
      <c r="D20" s="51">
        <f>D5</f>
        <v>85.427999999999997</v>
      </c>
      <c r="I20" s="33">
        <v>0</v>
      </c>
      <c r="J20" s="81">
        <f>D6</f>
        <v>57.113999999999997</v>
      </c>
      <c r="O20" s="33">
        <v>0</v>
      </c>
      <c r="P20" s="81">
        <f>D7</f>
        <v>53.35199999999999</v>
      </c>
      <c r="T20" s="75"/>
      <c r="U20" s="75"/>
      <c r="V20" s="75"/>
      <c r="W20" s="75"/>
      <c r="X20" s="75"/>
    </row>
    <row r="21" spans="1:24" x14ac:dyDescent="0.3">
      <c r="C21" s="35">
        <v>5</v>
      </c>
      <c r="D21" s="36">
        <f>E5</f>
        <v>79.099999999999994</v>
      </c>
      <c r="I21" s="35">
        <v>5</v>
      </c>
      <c r="J21" s="36">
        <f>E6</f>
        <v>50.1</v>
      </c>
      <c r="O21" s="35">
        <v>5</v>
      </c>
      <c r="P21" s="36">
        <f>E7</f>
        <v>46.8</v>
      </c>
      <c r="T21" s="75"/>
      <c r="U21" s="75"/>
      <c r="V21" s="75"/>
      <c r="W21" s="75"/>
      <c r="X21" s="75"/>
    </row>
    <row r="22" spans="1:24" x14ac:dyDescent="0.3">
      <c r="C22" s="35">
        <v>10</v>
      </c>
      <c r="D22" s="36">
        <f>F5</f>
        <v>65.400000000000006</v>
      </c>
      <c r="I22" s="35">
        <v>10</v>
      </c>
      <c r="J22" s="36">
        <f>F6</f>
        <v>39.4</v>
      </c>
      <c r="O22" s="35">
        <v>10</v>
      </c>
      <c r="P22" s="36">
        <f>F7</f>
        <v>36.4</v>
      </c>
      <c r="T22" s="75"/>
      <c r="U22" s="75"/>
      <c r="V22" s="75"/>
      <c r="W22" s="75"/>
      <c r="X22" s="75"/>
    </row>
    <row r="23" spans="1:24" x14ac:dyDescent="0.3">
      <c r="C23" s="35">
        <v>15</v>
      </c>
      <c r="D23" s="36">
        <f>G5</f>
        <v>45.7</v>
      </c>
      <c r="I23" s="35">
        <v>15</v>
      </c>
      <c r="J23" s="36">
        <f>G6</f>
        <v>26.9</v>
      </c>
      <c r="O23" s="35">
        <v>15</v>
      </c>
      <c r="P23" s="36">
        <f>G7</f>
        <v>23.8</v>
      </c>
      <c r="T23" s="75"/>
      <c r="U23" s="75"/>
      <c r="V23" s="75"/>
      <c r="W23" s="75"/>
      <c r="X23" s="75"/>
    </row>
    <row r="24" spans="1:24" x14ac:dyDescent="0.3">
      <c r="C24" s="35">
        <v>20</v>
      </c>
      <c r="D24" s="36">
        <f>H5</f>
        <v>36.299999999999997</v>
      </c>
      <c r="I24" s="35">
        <v>20</v>
      </c>
      <c r="J24" s="36">
        <f>H6</f>
        <v>18.899999999999999</v>
      </c>
      <c r="O24" s="35">
        <v>20</v>
      </c>
      <c r="P24" s="36">
        <f>H7</f>
        <v>16.3</v>
      </c>
      <c r="T24" s="75"/>
      <c r="U24" s="75"/>
      <c r="V24" s="75"/>
      <c r="W24" s="75"/>
      <c r="X24" s="75"/>
    </row>
    <row r="25" spans="1:24" ht="15" thickBot="1" x14ac:dyDescent="0.35">
      <c r="C25" s="37">
        <v>25</v>
      </c>
      <c r="D25" s="38">
        <f>I5</f>
        <v>9</v>
      </c>
      <c r="I25" s="37">
        <v>25</v>
      </c>
      <c r="J25" s="38">
        <f>I6</f>
        <v>6</v>
      </c>
      <c r="O25" s="37">
        <v>25</v>
      </c>
      <c r="P25" s="38">
        <f>I7</f>
        <v>5</v>
      </c>
      <c r="T25" s="75"/>
      <c r="U25" s="75"/>
      <c r="V25" s="75"/>
      <c r="W25" s="75"/>
      <c r="X25" s="75"/>
    </row>
    <row r="26" spans="1:24" x14ac:dyDescent="0.3">
      <c r="T26" s="75"/>
      <c r="U26" s="75"/>
      <c r="V26" s="75"/>
      <c r="W26" s="75"/>
      <c r="X26" s="75"/>
    </row>
    <row r="27" spans="1:24" x14ac:dyDescent="0.3">
      <c r="T27" s="75"/>
      <c r="U27" s="75"/>
      <c r="V27" s="75"/>
      <c r="W27" s="75"/>
      <c r="X27" s="75"/>
    </row>
    <row r="28" spans="1:24" s="102" customFormat="1" x14ac:dyDescent="0.3">
      <c r="A28" s="101"/>
      <c r="T28" s="103"/>
      <c r="U28" s="103"/>
      <c r="V28" s="103"/>
      <c r="W28" s="103"/>
      <c r="X28" s="103"/>
    </row>
    <row r="31" spans="1:24" ht="15" thickBot="1" x14ac:dyDescent="0.35">
      <c r="A31" s="6" t="s">
        <v>62</v>
      </c>
      <c r="B31" s="1" t="s">
        <v>12</v>
      </c>
      <c r="C31" s="90" t="s">
        <v>1</v>
      </c>
      <c r="D31" s="90" t="s">
        <v>10</v>
      </c>
      <c r="E31" s="90" t="s">
        <v>2</v>
      </c>
      <c r="F31" s="90" t="s">
        <v>3</v>
      </c>
      <c r="G31" s="90" t="s">
        <v>4</v>
      </c>
      <c r="H31" s="90" t="s">
        <v>6</v>
      </c>
      <c r="I31" s="90" t="s">
        <v>11</v>
      </c>
      <c r="J31" s="7" t="s">
        <v>58</v>
      </c>
    </row>
    <row r="32" spans="1:24" ht="15" thickBot="1" x14ac:dyDescent="0.35">
      <c r="B32" s="3" t="s">
        <v>51</v>
      </c>
      <c r="C32" s="98">
        <v>78.099999999999994</v>
      </c>
      <c r="D32" s="98">
        <f t="shared" ref="D32:D38" si="1">E32*1.15</f>
        <v>82.11</v>
      </c>
      <c r="E32" s="98">
        <v>71.400000000000006</v>
      </c>
      <c r="F32" s="98">
        <v>51.7</v>
      </c>
      <c r="G32" s="98">
        <v>37.1</v>
      </c>
      <c r="H32" s="98">
        <v>28.2</v>
      </c>
      <c r="I32" s="98">
        <v>12.1</v>
      </c>
      <c r="J32" s="6" t="s">
        <v>60</v>
      </c>
    </row>
    <row r="33" spans="1:24" ht="15" thickBot="1" x14ac:dyDescent="0.35">
      <c r="B33" s="3" t="s">
        <v>13</v>
      </c>
      <c r="C33" s="98">
        <v>73.5</v>
      </c>
      <c r="D33" s="98">
        <f t="shared" si="1"/>
        <v>77.855000000000004</v>
      </c>
      <c r="E33" s="98">
        <v>67.7</v>
      </c>
      <c r="F33" s="98">
        <v>47.6</v>
      </c>
      <c r="G33" s="98">
        <v>32.799999999999997</v>
      </c>
      <c r="H33" s="98">
        <v>24.4</v>
      </c>
      <c r="I33" s="98">
        <v>10.8</v>
      </c>
      <c r="J33" s="6" t="s">
        <v>92</v>
      </c>
      <c r="K33" s="80"/>
      <c r="L33" s="82"/>
      <c r="M33" s="75"/>
    </row>
    <row r="34" spans="1:24" ht="15" thickBot="1" x14ac:dyDescent="0.35">
      <c r="B34" s="4" t="s">
        <v>101</v>
      </c>
      <c r="C34" s="99">
        <v>38</v>
      </c>
      <c r="D34" s="98">
        <f t="shared" si="1"/>
        <v>43.469999999999992</v>
      </c>
      <c r="E34" s="99">
        <v>37.799999999999997</v>
      </c>
      <c r="F34" s="99">
        <v>29.3</v>
      </c>
      <c r="G34" s="99">
        <v>17.8</v>
      </c>
      <c r="H34" s="99">
        <v>14.7</v>
      </c>
      <c r="I34" s="99">
        <v>7.7</v>
      </c>
      <c r="J34" s="6" t="s">
        <v>93</v>
      </c>
      <c r="K34" s="80"/>
      <c r="L34" s="82"/>
      <c r="M34" s="75"/>
    </row>
    <row r="35" spans="1:24" ht="15" thickBot="1" x14ac:dyDescent="0.35">
      <c r="B35" s="4" t="s">
        <v>54</v>
      </c>
      <c r="C35" s="99">
        <v>36.5</v>
      </c>
      <c r="D35" s="98">
        <f t="shared" si="1"/>
        <v>42.434999999999995</v>
      </c>
      <c r="E35" s="99">
        <v>36.9</v>
      </c>
      <c r="F35" s="99">
        <v>28.6</v>
      </c>
      <c r="G35" s="99">
        <v>17.399999999999999</v>
      </c>
      <c r="H35" s="99">
        <v>13.9</v>
      </c>
      <c r="I35" s="99">
        <v>6.8</v>
      </c>
      <c r="J35" s="6" t="s">
        <v>94</v>
      </c>
      <c r="K35" s="80"/>
      <c r="L35" s="82"/>
      <c r="M35" s="75"/>
    </row>
    <row r="36" spans="1:24" ht="15" thickBot="1" x14ac:dyDescent="0.35">
      <c r="B36" s="4" t="s">
        <v>14</v>
      </c>
      <c r="C36" s="99">
        <v>32.1</v>
      </c>
      <c r="D36" s="98">
        <f t="shared" si="1"/>
        <v>35.879999999999995</v>
      </c>
      <c r="E36" s="99">
        <v>31.2</v>
      </c>
      <c r="F36" s="99">
        <v>24.6</v>
      </c>
      <c r="G36" s="99">
        <v>15.3</v>
      </c>
      <c r="H36" s="99">
        <v>12.7</v>
      </c>
      <c r="I36" s="99">
        <v>6.1</v>
      </c>
      <c r="J36" s="6" t="s">
        <v>95</v>
      </c>
      <c r="K36" s="75"/>
      <c r="L36" s="75"/>
      <c r="M36" s="75"/>
    </row>
    <row r="37" spans="1:24" ht="15" thickBot="1" x14ac:dyDescent="0.35">
      <c r="B37" s="3" t="s">
        <v>52</v>
      </c>
      <c r="C37" s="98">
        <v>34.9</v>
      </c>
      <c r="D37" s="98">
        <f t="shared" si="1"/>
        <v>42.089999999999996</v>
      </c>
      <c r="E37" s="98">
        <v>36.6</v>
      </c>
      <c r="F37" s="98">
        <v>28.2</v>
      </c>
      <c r="G37" s="98">
        <v>17.399999999999999</v>
      </c>
      <c r="H37" s="98">
        <v>13.7</v>
      </c>
      <c r="I37" s="98">
        <v>5.4</v>
      </c>
      <c r="J37" s="6" t="s">
        <v>96</v>
      </c>
      <c r="K37" s="75"/>
      <c r="L37" s="75"/>
      <c r="M37" s="75"/>
    </row>
    <row r="38" spans="1:24" ht="15" thickBot="1" x14ac:dyDescent="0.35">
      <c r="A38" s="6" t="s">
        <v>62</v>
      </c>
      <c r="B38" s="4" t="s">
        <v>15</v>
      </c>
      <c r="C38" s="99">
        <v>30.9</v>
      </c>
      <c r="D38" s="98">
        <f t="shared" si="1"/>
        <v>34.384999999999998</v>
      </c>
      <c r="E38" s="99">
        <v>29.9</v>
      </c>
      <c r="F38" s="99">
        <v>23.3</v>
      </c>
      <c r="G38" s="99">
        <v>14.7</v>
      </c>
      <c r="H38" s="99">
        <v>11.6</v>
      </c>
      <c r="I38" s="99">
        <v>5.9</v>
      </c>
      <c r="J38" s="6" t="s">
        <v>87</v>
      </c>
      <c r="K38" s="75"/>
      <c r="L38" s="75"/>
      <c r="M38" s="75"/>
    </row>
    <row r="39" spans="1:24" x14ac:dyDescent="0.3">
      <c r="K39" s="75"/>
      <c r="L39" s="75"/>
      <c r="M39" s="75"/>
    </row>
    <row r="40" spans="1:24" ht="15" thickBot="1" x14ac:dyDescent="0.35">
      <c r="K40" s="75"/>
      <c r="L40" s="75"/>
      <c r="M40" s="75"/>
    </row>
    <row r="41" spans="1:24" ht="15" thickBot="1" x14ac:dyDescent="0.35">
      <c r="B41" s="44" t="s">
        <v>63</v>
      </c>
      <c r="C41" s="24">
        <f t="array" ref="C41:F41">LINEST(D42:D47,C42:C47^{1,2,3},1,1)</f>
        <v>7.9629629629629809E-4</v>
      </c>
      <c r="D41" s="24">
        <v>-1.8253968253968356E-2</v>
      </c>
      <c r="E41" s="25">
        <v>-2.8417328042328025</v>
      </c>
      <c r="F41" s="26">
        <v>83.073888888888874</v>
      </c>
      <c r="G41" s="21"/>
      <c r="H41" s="44" t="s">
        <v>13</v>
      </c>
      <c r="I41" s="24">
        <f t="array" ref="I41:L41">LINEST(J42:J47,I42:I47^{1,2,3},1,1)</f>
        <v>2.0018518518518536E-3</v>
      </c>
      <c r="J41" s="24">
        <v>-5.3944444444444566E-2</v>
      </c>
      <c r="K41" s="25">
        <v>-2.5852050264550246</v>
      </c>
      <c r="L41" s="26">
        <v>78.819484126984122</v>
      </c>
      <c r="N41" s="44" t="s">
        <v>101</v>
      </c>
      <c r="O41" s="24">
        <f t="array" ref="O41:R41">LINEST(P42:P47,O42:O47^{1,2,3},1,1)</f>
        <v>2.1370370370370402E-3</v>
      </c>
      <c r="P41" s="24">
        <v>-6.9460317460317667E-2</v>
      </c>
      <c r="Q41" s="25">
        <v>-1.018743386243383</v>
      </c>
      <c r="R41" s="26">
        <v>43.763253968253949</v>
      </c>
      <c r="T41" s="86"/>
      <c r="U41" s="88"/>
      <c r="V41" s="88"/>
      <c r="W41" s="89"/>
      <c r="X41" s="89"/>
    </row>
    <row r="42" spans="1:24" x14ac:dyDescent="0.3">
      <c r="B42" s="23"/>
      <c r="C42" s="27">
        <v>0</v>
      </c>
      <c r="D42" s="28">
        <f>D32</f>
        <v>82.11</v>
      </c>
      <c r="E42" s="21"/>
      <c r="F42" s="21"/>
      <c r="G42" s="21"/>
      <c r="H42" s="23"/>
      <c r="I42" s="27">
        <v>0</v>
      </c>
      <c r="J42" s="28">
        <f>D33</f>
        <v>77.855000000000004</v>
      </c>
      <c r="K42" s="21"/>
      <c r="L42" s="21"/>
      <c r="N42" s="23"/>
      <c r="O42" s="27">
        <v>0</v>
      </c>
      <c r="P42" s="28">
        <f>D34</f>
        <v>43.469999999999992</v>
      </c>
      <c r="Q42" s="21"/>
      <c r="R42" s="21"/>
      <c r="T42" s="84"/>
      <c r="U42" s="87"/>
      <c r="V42" s="85"/>
      <c r="W42" s="85"/>
      <c r="X42" s="85"/>
    </row>
    <row r="43" spans="1:24" x14ac:dyDescent="0.3">
      <c r="B43" s="23"/>
      <c r="C43" s="29">
        <v>5</v>
      </c>
      <c r="D43" s="30">
        <f>E32</f>
        <v>71.400000000000006</v>
      </c>
      <c r="E43" s="21"/>
      <c r="F43" s="21"/>
      <c r="G43" s="21"/>
      <c r="H43" s="23"/>
      <c r="I43" s="29">
        <v>5</v>
      </c>
      <c r="J43" s="30">
        <f>E33</f>
        <v>67.7</v>
      </c>
      <c r="K43" s="21"/>
      <c r="L43" s="21"/>
      <c r="N43" s="23"/>
      <c r="O43" s="29">
        <v>5</v>
      </c>
      <c r="P43" s="30">
        <f>E34</f>
        <v>37.799999999999997</v>
      </c>
      <c r="Q43" s="21"/>
      <c r="R43" s="21"/>
      <c r="T43" s="84"/>
      <c r="U43" s="87"/>
      <c r="V43" s="85"/>
      <c r="W43" s="85"/>
      <c r="X43" s="85"/>
    </row>
    <row r="44" spans="1:24" x14ac:dyDescent="0.3">
      <c r="B44" s="23"/>
      <c r="C44" s="29">
        <v>10</v>
      </c>
      <c r="D44" s="30">
        <f>F32</f>
        <v>51.7</v>
      </c>
      <c r="E44" s="21"/>
      <c r="F44" s="21"/>
      <c r="G44" s="21"/>
      <c r="H44" s="23"/>
      <c r="I44" s="29">
        <v>10</v>
      </c>
      <c r="J44" s="30">
        <f>F33</f>
        <v>47.6</v>
      </c>
      <c r="K44" s="21"/>
      <c r="L44" s="21"/>
      <c r="N44" s="23"/>
      <c r="O44" s="29">
        <v>10</v>
      </c>
      <c r="P44" s="30">
        <f>F34</f>
        <v>29.3</v>
      </c>
      <c r="Q44" s="21"/>
      <c r="R44" s="21"/>
      <c r="T44" s="84"/>
      <c r="U44" s="87"/>
      <c r="V44" s="85"/>
      <c r="W44" s="85"/>
      <c r="X44" s="85"/>
    </row>
    <row r="45" spans="1:24" x14ac:dyDescent="0.3">
      <c r="B45" s="23"/>
      <c r="C45" s="29">
        <v>15</v>
      </c>
      <c r="D45" s="30">
        <f>G32</f>
        <v>37.1</v>
      </c>
      <c r="E45" s="21"/>
      <c r="F45" s="21"/>
      <c r="G45" s="21"/>
      <c r="H45" s="23"/>
      <c r="I45" s="29">
        <v>15</v>
      </c>
      <c r="J45" s="30">
        <f>G33</f>
        <v>32.799999999999997</v>
      </c>
      <c r="K45" s="21"/>
      <c r="L45" s="21"/>
      <c r="N45" s="23"/>
      <c r="O45" s="29">
        <v>15</v>
      </c>
      <c r="P45" s="30">
        <f>G34</f>
        <v>17.8</v>
      </c>
      <c r="Q45" s="21"/>
      <c r="R45" s="21"/>
      <c r="T45" s="84"/>
      <c r="U45" s="87"/>
      <c r="V45" s="85"/>
      <c r="W45" s="85"/>
      <c r="X45" s="85"/>
    </row>
    <row r="46" spans="1:24" x14ac:dyDescent="0.3">
      <c r="B46" s="20"/>
      <c r="C46" s="29">
        <v>20</v>
      </c>
      <c r="D46" s="30">
        <f>H32</f>
        <v>28.2</v>
      </c>
      <c r="E46" s="21"/>
      <c r="F46" s="21"/>
      <c r="G46" s="21"/>
      <c r="H46" s="20"/>
      <c r="I46" s="29">
        <v>20</v>
      </c>
      <c r="J46" s="30">
        <f>H33</f>
        <v>24.4</v>
      </c>
      <c r="K46" s="21"/>
      <c r="L46" s="21"/>
      <c r="N46" s="20"/>
      <c r="O46" s="29">
        <v>20</v>
      </c>
      <c r="P46" s="30">
        <f>H34</f>
        <v>14.7</v>
      </c>
      <c r="Q46" s="21"/>
      <c r="R46" s="21"/>
      <c r="T46" s="86"/>
      <c r="U46" s="87"/>
      <c r="V46" s="85"/>
      <c r="W46" s="85"/>
      <c r="X46" s="85"/>
    </row>
    <row r="47" spans="1:24" ht="15" thickBot="1" x14ac:dyDescent="0.35">
      <c r="B47" s="20"/>
      <c r="C47" s="31">
        <v>25</v>
      </c>
      <c r="D47" s="32">
        <f>I32</f>
        <v>12.1</v>
      </c>
      <c r="E47" s="21"/>
      <c r="F47" s="21"/>
      <c r="G47" s="21"/>
      <c r="H47" s="20"/>
      <c r="I47" s="31">
        <v>25</v>
      </c>
      <c r="J47" s="32">
        <f>I33</f>
        <v>10.8</v>
      </c>
      <c r="K47" s="21"/>
      <c r="L47" s="21"/>
      <c r="N47" s="20"/>
      <c r="O47" s="31">
        <v>25</v>
      </c>
      <c r="P47" s="32">
        <f>I34</f>
        <v>7.7</v>
      </c>
      <c r="Q47" s="21"/>
      <c r="R47" s="21"/>
      <c r="T47" s="86"/>
      <c r="U47" s="87"/>
      <c r="V47" s="85"/>
      <c r="W47" s="85"/>
      <c r="X47" s="85"/>
    </row>
    <row r="48" spans="1:24" x14ac:dyDescent="0.3">
      <c r="B48" s="20"/>
      <c r="C48" s="21"/>
      <c r="D48" s="21"/>
      <c r="E48" s="21"/>
      <c r="F48" s="21"/>
      <c r="G48" s="21"/>
      <c r="H48" s="21"/>
      <c r="I48" s="21"/>
      <c r="J48" s="6"/>
    </row>
    <row r="49" spans="1:24" ht="15" thickBot="1" x14ac:dyDescent="0.35">
      <c r="B49" s="20"/>
      <c r="C49" s="21"/>
      <c r="D49" s="21"/>
      <c r="E49" s="21"/>
      <c r="F49" s="21"/>
      <c r="G49" s="21"/>
      <c r="H49" s="21"/>
      <c r="I49" s="21"/>
      <c r="J49" s="6"/>
    </row>
    <row r="50" spans="1:24" ht="15" thickBot="1" x14ac:dyDescent="0.35">
      <c r="B50" s="44" t="s">
        <v>54</v>
      </c>
      <c r="C50" s="24">
        <f t="array" ref="C50:F50">LINEST(D51:D56,C51:C56^{1,2,3},1,1)</f>
        <v>2.046296296296303E-3</v>
      </c>
      <c r="D50" s="24">
        <v>-6.86111111111114E-2</v>
      </c>
      <c r="E50" s="25">
        <v>-0.97869708994708637</v>
      </c>
      <c r="F50" s="26">
        <v>42.704246031746024</v>
      </c>
      <c r="G50" s="21"/>
      <c r="H50" s="44" t="s">
        <v>14</v>
      </c>
      <c r="I50" s="24">
        <f t="array" ref="I50:L50">LINEST(J51:J56,I51:I56^{1,2,3},1,1)</f>
        <v>1.3185185185185229E-3</v>
      </c>
      <c r="J50" s="24">
        <v>-4.4873015873016071E-2</v>
      </c>
      <c r="K50" s="25">
        <v>-0.88383597883597642</v>
      </c>
      <c r="L50" s="26">
        <v>36.114126984126983</v>
      </c>
      <c r="N50" s="44" t="s">
        <v>52</v>
      </c>
      <c r="O50" s="24">
        <f t="array" ref="O50:R50">LINEST(P51:P56,O51:O56^{1,2,3},1,1)</f>
        <v>1.4851851851851931E-3</v>
      </c>
      <c r="P50" s="24">
        <v>-5.230158730158762E-2</v>
      </c>
      <c r="Q50" s="25">
        <v>-1.0787169312169276</v>
      </c>
      <c r="R50" s="26">
        <v>42.406269841269825</v>
      </c>
      <c r="T50" s="44" t="s">
        <v>15</v>
      </c>
      <c r="U50" s="24">
        <f t="array" ref="U50:X50">LINEST(V51:V56,U51:U56^{1,2,3},1,1)</f>
        <v>1.4870370370370406E-3</v>
      </c>
      <c r="V50" s="24">
        <v>-5.0103174603174767E-2</v>
      </c>
      <c r="W50" s="25">
        <v>-0.80892195767195574</v>
      </c>
      <c r="X50" s="26">
        <v>34.587182539682537</v>
      </c>
    </row>
    <row r="51" spans="1:24" x14ac:dyDescent="0.3">
      <c r="B51" s="23"/>
      <c r="C51" s="27">
        <v>0</v>
      </c>
      <c r="D51" s="28">
        <f>D35</f>
        <v>42.434999999999995</v>
      </c>
      <c r="E51" s="21"/>
      <c r="F51" s="21"/>
      <c r="G51" s="21"/>
      <c r="H51" s="23"/>
      <c r="I51" s="27">
        <v>0</v>
      </c>
      <c r="J51" s="28">
        <f>D36</f>
        <v>35.879999999999995</v>
      </c>
      <c r="K51" s="21"/>
      <c r="L51" s="21"/>
      <c r="N51" s="23"/>
      <c r="O51" s="27">
        <v>0</v>
      </c>
      <c r="P51" s="28">
        <f>D37</f>
        <v>42.089999999999996</v>
      </c>
      <c r="Q51" s="21"/>
      <c r="R51" s="21"/>
      <c r="T51" s="23"/>
      <c r="U51" s="27">
        <v>0</v>
      </c>
      <c r="V51" s="28">
        <f>D38</f>
        <v>34.384999999999998</v>
      </c>
      <c r="W51" s="21"/>
      <c r="X51" s="21"/>
    </row>
    <row r="52" spans="1:24" x14ac:dyDescent="0.3">
      <c r="B52" s="23"/>
      <c r="C52" s="29">
        <v>5</v>
      </c>
      <c r="D52" s="30">
        <f>E35</f>
        <v>36.9</v>
      </c>
      <c r="E52" s="21"/>
      <c r="F52" s="21"/>
      <c r="G52" s="21"/>
      <c r="H52" s="23"/>
      <c r="I52" s="29">
        <v>5</v>
      </c>
      <c r="J52" s="30">
        <f>E36</f>
        <v>31.2</v>
      </c>
      <c r="K52" s="21"/>
      <c r="L52" s="21"/>
      <c r="N52" s="23"/>
      <c r="O52" s="29">
        <v>5</v>
      </c>
      <c r="P52" s="30">
        <f>E37</f>
        <v>36.6</v>
      </c>
      <c r="Q52" s="21"/>
      <c r="R52" s="21"/>
      <c r="T52" s="23"/>
      <c r="U52" s="29">
        <v>5</v>
      </c>
      <c r="V52" s="30">
        <f>E38</f>
        <v>29.9</v>
      </c>
      <c r="W52" s="21"/>
      <c r="X52" s="21"/>
    </row>
    <row r="53" spans="1:24" x14ac:dyDescent="0.3">
      <c r="B53" s="23"/>
      <c r="C53" s="29">
        <v>10</v>
      </c>
      <c r="D53" s="30">
        <f>F35</f>
        <v>28.6</v>
      </c>
      <c r="E53" s="21"/>
      <c r="F53" s="21"/>
      <c r="G53" s="21"/>
      <c r="H53" s="23"/>
      <c r="I53" s="29">
        <v>10</v>
      </c>
      <c r="J53" s="30">
        <f>F36</f>
        <v>24.6</v>
      </c>
      <c r="K53" s="21"/>
      <c r="L53" s="21"/>
      <c r="N53" s="23"/>
      <c r="O53" s="29">
        <v>10</v>
      </c>
      <c r="P53" s="30">
        <f>F37</f>
        <v>28.2</v>
      </c>
      <c r="Q53" s="21"/>
      <c r="R53" s="21"/>
      <c r="T53" s="23"/>
      <c r="U53" s="29">
        <v>10</v>
      </c>
      <c r="V53" s="30">
        <f>F38</f>
        <v>23.3</v>
      </c>
      <c r="W53" s="21"/>
      <c r="X53" s="21"/>
    </row>
    <row r="54" spans="1:24" x14ac:dyDescent="0.3">
      <c r="B54" s="23"/>
      <c r="C54" s="29">
        <v>15</v>
      </c>
      <c r="D54" s="30">
        <f>G35</f>
        <v>17.399999999999999</v>
      </c>
      <c r="E54" s="21"/>
      <c r="F54" s="21"/>
      <c r="G54" s="21"/>
      <c r="H54" s="23"/>
      <c r="I54" s="29">
        <v>15</v>
      </c>
      <c r="J54" s="30">
        <f>G36</f>
        <v>15.3</v>
      </c>
      <c r="K54" s="21"/>
      <c r="L54" s="21"/>
      <c r="N54" s="23"/>
      <c r="O54" s="29">
        <v>15</v>
      </c>
      <c r="P54" s="30">
        <f>G37</f>
        <v>17.399999999999999</v>
      </c>
      <c r="Q54" s="21"/>
      <c r="R54" s="21"/>
      <c r="T54" s="23"/>
      <c r="U54" s="29">
        <v>15</v>
      </c>
      <c r="V54" s="30">
        <f>G38</f>
        <v>14.7</v>
      </c>
      <c r="W54" s="21"/>
      <c r="X54" s="21"/>
    </row>
    <row r="55" spans="1:24" x14ac:dyDescent="0.3">
      <c r="B55" s="20"/>
      <c r="C55" s="29">
        <v>20</v>
      </c>
      <c r="D55" s="30">
        <f>H35</f>
        <v>13.9</v>
      </c>
      <c r="E55" s="21"/>
      <c r="F55" s="21"/>
      <c r="G55" s="21"/>
      <c r="H55" s="20"/>
      <c r="I55" s="29">
        <v>20</v>
      </c>
      <c r="J55" s="30">
        <f>H36</f>
        <v>12.7</v>
      </c>
      <c r="K55" s="21"/>
      <c r="L55" s="21"/>
      <c r="N55" s="20"/>
      <c r="O55" s="29">
        <v>20</v>
      </c>
      <c r="P55" s="30">
        <f>H37</f>
        <v>13.7</v>
      </c>
      <c r="Q55" s="21"/>
      <c r="R55" s="21"/>
      <c r="T55" s="20"/>
      <c r="U55" s="29">
        <v>20</v>
      </c>
      <c r="V55" s="30">
        <f>H38</f>
        <v>11.6</v>
      </c>
      <c r="W55" s="21"/>
      <c r="X55" s="21"/>
    </row>
    <row r="56" spans="1:24" ht="15" thickBot="1" x14ac:dyDescent="0.35">
      <c r="B56" s="20"/>
      <c r="C56" s="31">
        <v>25</v>
      </c>
      <c r="D56" s="32">
        <f>I35</f>
        <v>6.8</v>
      </c>
      <c r="E56" s="21"/>
      <c r="F56" s="21"/>
      <c r="G56" s="21"/>
      <c r="H56" s="20"/>
      <c r="I56" s="31">
        <v>25</v>
      </c>
      <c r="J56" s="32">
        <f>I36</f>
        <v>6.1</v>
      </c>
      <c r="K56" s="21"/>
      <c r="L56" s="21"/>
      <c r="N56" s="20"/>
      <c r="O56" s="31">
        <v>25</v>
      </c>
      <c r="P56" s="32">
        <f>I37</f>
        <v>5.4</v>
      </c>
      <c r="Q56" s="21"/>
      <c r="R56" s="21"/>
      <c r="T56" s="20"/>
      <c r="U56" s="31">
        <v>25</v>
      </c>
      <c r="V56" s="32">
        <f>I38</f>
        <v>5.9</v>
      </c>
      <c r="W56" s="21"/>
      <c r="X56" s="21"/>
    </row>
    <row r="57" spans="1:24" x14ac:dyDescent="0.3">
      <c r="B57" s="86"/>
      <c r="C57" s="87"/>
      <c r="D57" s="85"/>
      <c r="E57" s="85"/>
      <c r="F57" s="85"/>
      <c r="G57" s="21"/>
      <c r="H57" s="20"/>
      <c r="I57" s="22"/>
      <c r="J57" s="21"/>
      <c r="K57" s="21"/>
      <c r="L57" s="21"/>
      <c r="N57" s="20"/>
      <c r="O57" s="22"/>
      <c r="P57" s="21"/>
      <c r="Q57" s="21"/>
      <c r="R57" s="21"/>
      <c r="T57" s="20"/>
      <c r="U57" s="22"/>
      <c r="V57" s="21"/>
      <c r="W57" s="21"/>
      <c r="X57" s="21"/>
    </row>
    <row r="58" spans="1:24" x14ac:dyDescent="0.3">
      <c r="B58" s="20"/>
      <c r="C58" s="22"/>
      <c r="D58" s="21"/>
      <c r="E58" s="21"/>
      <c r="F58" s="21"/>
      <c r="G58" s="21"/>
      <c r="H58" s="20"/>
      <c r="I58" s="22"/>
      <c r="J58" s="21"/>
      <c r="K58" s="21"/>
      <c r="L58" s="21"/>
      <c r="N58" s="20"/>
      <c r="O58" s="22"/>
      <c r="P58" s="21"/>
      <c r="Q58" s="21"/>
      <c r="R58" s="21"/>
      <c r="T58" s="20"/>
      <c r="U58" s="22"/>
      <c r="V58" s="21"/>
      <c r="W58" s="21"/>
      <c r="X58" s="21"/>
    </row>
    <row r="59" spans="1:24" x14ac:dyDescent="0.3">
      <c r="G59" s="21"/>
      <c r="N59" s="20"/>
      <c r="O59" s="22"/>
      <c r="P59" s="21"/>
      <c r="Q59" s="21"/>
      <c r="R59" s="21"/>
      <c r="T59" s="20"/>
      <c r="U59" s="22"/>
      <c r="V59" s="21"/>
      <c r="W59" s="21"/>
      <c r="X59" s="21"/>
    </row>
    <row r="60" spans="1:24" s="102" customFormat="1" x14ac:dyDescent="0.3">
      <c r="A60" s="101"/>
    </row>
    <row r="63" spans="1:24" x14ac:dyDescent="0.3">
      <c r="C63" s="18" t="s">
        <v>65</v>
      </c>
      <c r="D63" s="18"/>
      <c r="E63" s="18"/>
      <c r="F63" s="18"/>
      <c r="G63" s="18"/>
      <c r="H63" s="18"/>
      <c r="I63" s="47" t="s">
        <v>66</v>
      </c>
      <c r="J63" s="47"/>
      <c r="K63" s="47"/>
      <c r="L63" s="47"/>
      <c r="M63" s="47"/>
      <c r="N63" s="47"/>
      <c r="O63" s="47"/>
    </row>
    <row r="64" spans="1:24" x14ac:dyDescent="0.3">
      <c r="A64" s="6" t="s">
        <v>62</v>
      </c>
      <c r="B64" s="100" t="s">
        <v>86</v>
      </c>
      <c r="C64" s="100" t="s">
        <v>0</v>
      </c>
      <c r="D64" s="100" t="s">
        <v>5</v>
      </c>
      <c r="E64" s="100" t="s">
        <v>7</v>
      </c>
      <c r="F64" s="100" t="s">
        <v>8</v>
      </c>
      <c r="G64" s="100" t="s">
        <v>9</v>
      </c>
      <c r="H64" s="100" t="s">
        <v>61</v>
      </c>
      <c r="I64" s="100" t="s">
        <v>68</v>
      </c>
      <c r="J64" s="100" t="s">
        <v>64</v>
      </c>
      <c r="K64" s="100" t="s">
        <v>102</v>
      </c>
      <c r="L64" s="100" t="s">
        <v>54</v>
      </c>
      <c r="M64" s="100" t="s">
        <v>14</v>
      </c>
      <c r="N64" s="100" t="s">
        <v>52</v>
      </c>
      <c r="O64" s="100" t="s">
        <v>15</v>
      </c>
    </row>
    <row r="65" spans="1:15" x14ac:dyDescent="0.3">
      <c r="B65" s="100">
        <v>0</v>
      </c>
      <c r="C65" s="48">
        <f t="shared" ref="C65:C85" si="2">$D$90*B65^3+$E$90*B65^2+$F$90*B65+$G$90</f>
        <v>158.76133333333334</v>
      </c>
      <c r="D65" s="48">
        <f t="shared" ref="D65:D85" si="3">$D$91*B65^3+$E$91*B65^2+$F$91*B65+$G$91</f>
        <v>107.46196825396825</v>
      </c>
      <c r="E65" s="48">
        <f t="shared" ref="E65:E85" si="4">$D$92*B65^3+$E$92*B65^2+$F$92*B65+$G$92</f>
        <v>85.725777777777765</v>
      </c>
      <c r="F65" s="48">
        <f t="shared" ref="F65:F85" si="5">$D$93*B65^3+$E$93*B65^2+$F$93*B65+$G$93</f>
        <v>86.248317460317452</v>
      </c>
      <c r="G65" s="48">
        <f t="shared" ref="G65:G85" si="6">$D$94*B65^3+$E$94*B65^2+$F$94*B65+$G$94</f>
        <v>57.43725396825397</v>
      </c>
      <c r="H65" s="48">
        <f t="shared" ref="H65:H85" si="7">$D$95*B65^3+$E$95*B65^2+$F$95*B65+$G$95</f>
        <v>53.641999999999996</v>
      </c>
      <c r="I65" s="48">
        <f t="shared" ref="I65:I85" si="8">$J$90*B65^3+$K$90*B65^2+$L$90*B65+$M$90</f>
        <v>83.073888888888874</v>
      </c>
      <c r="J65" s="48">
        <f t="shared" ref="J65:J85" si="9">$J$91*B65^3+$K$91*B65^2+$L$91*B65+$M$91</f>
        <v>78.819484126984122</v>
      </c>
      <c r="K65" s="48">
        <f t="shared" ref="K65:K85" si="10">$J$92*B65^3+$K$92*B65^2+$L$92*B65+$M$92</f>
        <v>43.763253968253949</v>
      </c>
      <c r="L65" s="48">
        <f t="shared" ref="L65:L85" si="11">$J$93*B65^3+$K$93*B65^2+$L$93*B65+$M$93</f>
        <v>42.704246031746024</v>
      </c>
      <c r="M65" s="48">
        <f t="shared" ref="M65:M85" si="12">$J$94*B65^3+$K$94*B65^2+$L$94*B65+$M$94</f>
        <v>36.114126984126983</v>
      </c>
      <c r="N65" s="48">
        <f t="shared" ref="N65:N85" si="13">$J$95*B65^3+$K$95*B65^2+$L$95*B65+$M$95</f>
        <v>42.406269841269825</v>
      </c>
      <c r="O65" s="48">
        <f t="shared" ref="O65:O85" si="14">$J$96*B65^3+$K$96*B65^2+$L$96*B65+$M$96</f>
        <v>34.587182539682537</v>
      </c>
    </row>
    <row r="66" spans="1:15" x14ac:dyDescent="0.3">
      <c r="B66" s="100">
        <v>1</v>
      </c>
      <c r="C66" s="48">
        <f t="shared" si="2"/>
        <v>154.4818361904762</v>
      </c>
      <c r="D66" s="48">
        <f t="shared" si="3"/>
        <v>104.68340444444443</v>
      </c>
      <c r="E66" s="48">
        <f t="shared" si="4"/>
        <v>84.094813968253959</v>
      </c>
      <c r="F66" s="48">
        <f t="shared" si="5"/>
        <v>84.636344126984127</v>
      </c>
      <c r="G66" s="48">
        <f t="shared" si="6"/>
        <v>55.98075301587302</v>
      </c>
      <c r="H66" s="48">
        <f t="shared" si="7"/>
        <v>52.375611428571432</v>
      </c>
      <c r="I66" s="48">
        <f t="shared" si="8"/>
        <v>80.214698412698397</v>
      </c>
      <c r="J66" s="48">
        <f t="shared" si="9"/>
        <v>76.182336507936498</v>
      </c>
      <c r="K66" s="48">
        <f t="shared" si="10"/>
        <v>42.677187301587288</v>
      </c>
      <c r="L66" s="48">
        <f t="shared" si="11"/>
        <v>41.658984126984123</v>
      </c>
      <c r="M66" s="48">
        <f t="shared" si="12"/>
        <v>35.186736507936509</v>
      </c>
      <c r="N66" s="48">
        <f t="shared" si="13"/>
        <v>41.276736507936498</v>
      </c>
      <c r="O66" s="48">
        <f t="shared" si="14"/>
        <v>33.729644444444446</v>
      </c>
    </row>
    <row r="67" spans="1:15" x14ac:dyDescent="0.3">
      <c r="B67" s="100">
        <v>2</v>
      </c>
      <c r="C67" s="48">
        <f t="shared" si="2"/>
        <v>150.22714666666667</v>
      </c>
      <c r="D67" s="48">
        <f t="shared" si="3"/>
        <v>102.00350222222222</v>
      </c>
      <c r="E67" s="48">
        <f t="shared" si="4"/>
        <v>82.365635555555542</v>
      </c>
      <c r="F67" s="48">
        <f t="shared" si="5"/>
        <v>82.918257777777768</v>
      </c>
      <c r="G67" s="48">
        <f t="shared" si="6"/>
        <v>54.432062222222228</v>
      </c>
      <c r="H67" s="48">
        <f t="shared" si="7"/>
        <v>50.978720000000003</v>
      </c>
      <c r="I67" s="48">
        <f t="shared" si="8"/>
        <v>77.323777777777764</v>
      </c>
      <c r="J67" s="48">
        <f t="shared" si="9"/>
        <v>73.449311111111115</v>
      </c>
      <c r="K67" s="48">
        <f t="shared" si="10"/>
        <v>41.46502222222221</v>
      </c>
      <c r="L67" s="48">
        <f t="shared" si="11"/>
        <v>40.488777777777777</v>
      </c>
      <c r="M67" s="48">
        <f t="shared" si="12"/>
        <v>34.177511111111116</v>
      </c>
      <c r="N67" s="48">
        <f t="shared" si="13"/>
        <v>40.051511111111104</v>
      </c>
      <c r="O67" s="48">
        <f t="shared" si="14"/>
        <v>32.78082222222222</v>
      </c>
    </row>
    <row r="68" spans="1:15" x14ac:dyDescent="0.3">
      <c r="B68" s="100">
        <v>3</v>
      </c>
      <c r="C68" s="48">
        <f t="shared" si="2"/>
        <v>145.98249142857142</v>
      </c>
      <c r="D68" s="48">
        <f t="shared" si="3"/>
        <v>99.398643809523804</v>
      </c>
      <c r="E68" s="48">
        <f t="shared" si="4"/>
        <v>80.535558095238073</v>
      </c>
      <c r="F68" s="48">
        <f t="shared" si="5"/>
        <v>81.092396190476194</v>
      </c>
      <c r="G68" s="48">
        <f t="shared" si="6"/>
        <v>52.79688380952382</v>
      </c>
      <c r="H68" s="48">
        <f t="shared" si="7"/>
        <v>49.461165714285727</v>
      </c>
      <c r="I68" s="48">
        <f t="shared" si="8"/>
        <v>74.40590476190475</v>
      </c>
      <c r="J68" s="48">
        <f t="shared" si="9"/>
        <v>70.632419047619052</v>
      </c>
      <c r="K68" s="48">
        <f t="shared" si="10"/>
        <v>40.139580952380939</v>
      </c>
      <c r="L68" s="48">
        <f t="shared" si="11"/>
        <v>39.205904761904762</v>
      </c>
      <c r="M68" s="48">
        <f t="shared" si="12"/>
        <v>33.094361904761911</v>
      </c>
      <c r="N68" s="48">
        <f t="shared" si="13"/>
        <v>38.739504761904755</v>
      </c>
      <c r="O68" s="48">
        <f t="shared" si="14"/>
        <v>31.749638095238097</v>
      </c>
    </row>
    <row r="69" spans="1:15" x14ac:dyDescent="0.3">
      <c r="B69" s="100">
        <v>4</v>
      </c>
      <c r="C69" s="48">
        <f t="shared" si="2"/>
        <v>141.73309714285713</v>
      </c>
      <c r="D69" s="48">
        <f t="shared" si="3"/>
        <v>96.845211428571417</v>
      </c>
      <c r="E69" s="48">
        <f t="shared" si="4"/>
        <v>78.601897142857126</v>
      </c>
      <c r="F69" s="48">
        <f t="shared" si="5"/>
        <v>79.15709714285714</v>
      </c>
      <c r="G69" s="48">
        <f t="shared" si="6"/>
        <v>51.080920000000006</v>
      </c>
      <c r="H69" s="48">
        <f t="shared" si="7"/>
        <v>47.83278857142858</v>
      </c>
      <c r="I69" s="48">
        <f t="shared" si="8"/>
        <v>71.465857142857132</v>
      </c>
      <c r="J69" s="48">
        <f t="shared" si="9"/>
        <v>67.743671428571432</v>
      </c>
      <c r="K69" s="48">
        <f t="shared" si="10"/>
        <v>38.713685714285702</v>
      </c>
      <c r="L69" s="48">
        <f t="shared" si="11"/>
        <v>37.82264285714286</v>
      </c>
      <c r="M69" s="48">
        <f t="shared" si="12"/>
        <v>31.945200000000007</v>
      </c>
      <c r="N69" s="48">
        <f t="shared" si="13"/>
        <v>37.349628571428568</v>
      </c>
      <c r="O69" s="48">
        <f t="shared" si="14"/>
        <v>30.645014285714289</v>
      </c>
    </row>
    <row r="70" spans="1:15" x14ac:dyDescent="0.3">
      <c r="B70" s="100">
        <v>5</v>
      </c>
      <c r="C70" s="48">
        <f t="shared" si="2"/>
        <v>137.46419047619048</v>
      </c>
      <c r="D70" s="48">
        <f t="shared" si="3"/>
        <v>94.319587301587291</v>
      </c>
      <c r="E70" s="48">
        <f t="shared" si="4"/>
        <v>76.561968253968246</v>
      </c>
      <c r="F70" s="48">
        <f t="shared" si="5"/>
        <v>77.110698412698412</v>
      </c>
      <c r="G70" s="48">
        <f t="shared" si="6"/>
        <v>49.289873015873027</v>
      </c>
      <c r="H70" s="48">
        <f t="shared" si="7"/>
        <v>46.103428571428587</v>
      </c>
      <c r="I70" s="48">
        <f t="shared" si="8"/>
        <v>68.508412698412684</v>
      </c>
      <c r="J70" s="48">
        <f t="shared" si="9"/>
        <v>64.795079365079374</v>
      </c>
      <c r="K70" s="48">
        <f t="shared" si="10"/>
        <v>37.200158730158719</v>
      </c>
      <c r="L70" s="48">
        <f t="shared" si="11"/>
        <v>36.351269841269847</v>
      </c>
      <c r="M70" s="48">
        <f t="shared" si="12"/>
        <v>30.737936507936517</v>
      </c>
      <c r="N70" s="48">
        <f t="shared" si="13"/>
        <v>35.890793650793647</v>
      </c>
      <c r="O70" s="48">
        <f t="shared" si="14"/>
        <v>29.47587301587302</v>
      </c>
    </row>
    <row r="71" spans="1:15" x14ac:dyDescent="0.3">
      <c r="B71" s="100">
        <v>6</v>
      </c>
      <c r="C71" s="48">
        <f t="shared" si="2"/>
        <v>133.16099809523809</v>
      </c>
      <c r="D71" s="48">
        <f t="shared" si="3"/>
        <v>91.798153650793637</v>
      </c>
      <c r="E71" s="48">
        <f t="shared" si="4"/>
        <v>74.413086984126963</v>
      </c>
      <c r="F71" s="48">
        <f t="shared" si="5"/>
        <v>74.951537777777787</v>
      </c>
      <c r="G71" s="48">
        <f t="shared" si="6"/>
        <v>47.429445079365088</v>
      </c>
      <c r="H71" s="48">
        <f t="shared" si="7"/>
        <v>44.282925714285732</v>
      </c>
      <c r="I71" s="48">
        <f t="shared" si="8"/>
        <v>65.538349206349196</v>
      </c>
      <c r="J71" s="48">
        <f t="shared" si="9"/>
        <v>61.798653968253973</v>
      </c>
      <c r="K71" s="48">
        <f t="shared" si="10"/>
        <v>35.611822222222216</v>
      </c>
      <c r="L71" s="48">
        <f t="shared" si="11"/>
        <v>34.804063492063499</v>
      </c>
      <c r="M71" s="48">
        <f t="shared" si="12"/>
        <v>29.480482539682548</v>
      </c>
      <c r="N71" s="48">
        <f t="shared" si="13"/>
        <v>34.371911111111103</v>
      </c>
      <c r="O71" s="48">
        <f t="shared" si="14"/>
        <v>28.251136507936511</v>
      </c>
    </row>
    <row r="72" spans="1:15" x14ac:dyDescent="0.3">
      <c r="B72" s="100">
        <v>7</v>
      </c>
      <c r="C72" s="48">
        <f t="shared" si="2"/>
        <v>128.80874666666665</v>
      </c>
      <c r="D72" s="48">
        <f t="shared" si="3"/>
        <v>89.257292698412698</v>
      </c>
      <c r="E72" s="48">
        <f t="shared" si="4"/>
        <v>72.152568888888879</v>
      </c>
      <c r="F72" s="48">
        <f t="shared" si="5"/>
        <v>72.677953015873015</v>
      </c>
      <c r="G72" s="48">
        <f t="shared" si="6"/>
        <v>45.505338412698421</v>
      </c>
      <c r="H72" s="48">
        <f t="shared" si="7"/>
        <v>42.381120000000017</v>
      </c>
      <c r="I72" s="48">
        <f t="shared" si="8"/>
        <v>62.560444444444435</v>
      </c>
      <c r="J72" s="48">
        <f t="shared" si="9"/>
        <v>58.766406349206349</v>
      </c>
      <c r="K72" s="48">
        <f t="shared" si="10"/>
        <v>33.961498412698404</v>
      </c>
      <c r="L72" s="48">
        <f t="shared" si="11"/>
        <v>33.19330158730159</v>
      </c>
      <c r="M72" s="48">
        <f t="shared" si="12"/>
        <v>28.180749206349212</v>
      </c>
      <c r="N72" s="48">
        <f t="shared" si="13"/>
        <v>32.801892063492062</v>
      </c>
      <c r="O72" s="48">
        <f t="shared" si="14"/>
        <v>26.979726984126987</v>
      </c>
    </row>
    <row r="73" spans="1:15" x14ac:dyDescent="0.3">
      <c r="B73" s="100">
        <v>8</v>
      </c>
      <c r="C73" s="48">
        <f t="shared" si="2"/>
        <v>124.39266285714285</v>
      </c>
      <c r="D73" s="48">
        <f t="shared" si="3"/>
        <v>86.673386666666659</v>
      </c>
      <c r="E73" s="48">
        <f t="shared" si="4"/>
        <v>69.777729523809512</v>
      </c>
      <c r="F73" s="48">
        <f t="shared" si="5"/>
        <v>70.288281904761902</v>
      </c>
      <c r="G73" s="48">
        <f t="shared" si="6"/>
        <v>43.523255238095246</v>
      </c>
      <c r="H73" s="48">
        <f t="shared" si="7"/>
        <v>40.407851428571448</v>
      </c>
      <c r="I73" s="48">
        <f t="shared" si="8"/>
        <v>59.579476190476186</v>
      </c>
      <c r="J73" s="48">
        <f t="shared" si="9"/>
        <v>55.710347619047624</v>
      </c>
      <c r="K73" s="48">
        <f t="shared" si="10"/>
        <v>32.262009523809517</v>
      </c>
      <c r="L73" s="48">
        <f t="shared" si="11"/>
        <v>31.531261904761912</v>
      </c>
      <c r="M73" s="48">
        <f t="shared" si="12"/>
        <v>26.846647619047626</v>
      </c>
      <c r="N73" s="48">
        <f t="shared" si="13"/>
        <v>31.189647619047616</v>
      </c>
      <c r="O73" s="48">
        <f t="shared" si="14"/>
        <v>25.670566666666673</v>
      </c>
    </row>
    <row r="74" spans="1:15" x14ac:dyDescent="0.3">
      <c r="B74" s="100">
        <v>9</v>
      </c>
      <c r="C74" s="48">
        <f t="shared" si="2"/>
        <v>119.89797333333333</v>
      </c>
      <c r="D74" s="48">
        <f t="shared" si="3"/>
        <v>84.022817777777774</v>
      </c>
      <c r="E74" s="48">
        <f t="shared" si="4"/>
        <v>67.285884444444434</v>
      </c>
      <c r="F74" s="48">
        <f t="shared" si="5"/>
        <v>67.780862222222225</v>
      </c>
      <c r="G74" s="48">
        <f t="shared" si="6"/>
        <v>41.488897777777787</v>
      </c>
      <c r="H74" s="48">
        <f t="shared" si="7"/>
        <v>38.37296000000002</v>
      </c>
      <c r="I74" s="48">
        <f t="shared" si="8"/>
        <v>56.600222222222214</v>
      </c>
      <c r="J74" s="48">
        <f t="shared" si="9"/>
        <v>52.642488888888892</v>
      </c>
      <c r="K74" s="48">
        <f t="shared" si="10"/>
        <v>30.526177777777775</v>
      </c>
      <c r="L74" s="48">
        <f t="shared" si="11"/>
        <v>29.830222222222229</v>
      </c>
      <c r="M74" s="48">
        <f t="shared" si="12"/>
        <v>25.486088888888897</v>
      </c>
      <c r="N74" s="48">
        <f t="shared" si="13"/>
        <v>29.544088888888886</v>
      </c>
      <c r="O74" s="48">
        <f t="shared" si="14"/>
        <v>24.332577777777782</v>
      </c>
    </row>
    <row r="75" spans="1:15" x14ac:dyDescent="0.3">
      <c r="A75" s="6" t="s">
        <v>62</v>
      </c>
      <c r="B75" s="100">
        <v>10</v>
      </c>
      <c r="C75" s="48">
        <f t="shared" si="2"/>
        <v>115.30990476190476</v>
      </c>
      <c r="D75" s="48">
        <f t="shared" si="3"/>
        <v>81.281968253968245</v>
      </c>
      <c r="E75" s="48">
        <f t="shared" si="4"/>
        <v>64.674349206349191</v>
      </c>
      <c r="F75" s="48">
        <f t="shared" si="5"/>
        <v>65.154031746031748</v>
      </c>
      <c r="G75" s="48">
        <f t="shared" si="6"/>
        <v>39.407968253968264</v>
      </c>
      <c r="H75" s="48">
        <f t="shared" si="7"/>
        <v>36.286285714285732</v>
      </c>
      <c r="I75" s="48">
        <f t="shared" si="8"/>
        <v>53.627460317460312</v>
      </c>
      <c r="J75" s="48">
        <f t="shared" si="9"/>
        <v>49.574841269841272</v>
      </c>
      <c r="K75" s="48">
        <f t="shared" si="10"/>
        <v>28.766825396825393</v>
      </c>
      <c r="L75" s="48">
        <f t="shared" si="11"/>
        <v>28.102460317460324</v>
      </c>
      <c r="M75" s="48">
        <f t="shared" si="12"/>
        <v>24.106984126984138</v>
      </c>
      <c r="N75" s="48">
        <f t="shared" si="13"/>
        <v>27.874126984126981</v>
      </c>
      <c r="O75" s="48">
        <f t="shared" si="14"/>
        <v>22.974682539682544</v>
      </c>
    </row>
    <row r="76" spans="1:15" x14ac:dyDescent="0.3">
      <c r="B76" s="100">
        <v>11</v>
      </c>
      <c r="C76" s="48">
        <f t="shared" si="2"/>
        <v>110.61368380952381</v>
      </c>
      <c r="D76" s="48">
        <f t="shared" si="3"/>
        <v>78.427220317460311</v>
      </c>
      <c r="E76" s="48">
        <f t="shared" si="4"/>
        <v>61.940439365079357</v>
      </c>
      <c r="F76" s="48">
        <f t="shared" si="5"/>
        <v>62.406128253968262</v>
      </c>
      <c r="G76" s="48">
        <f t="shared" si="6"/>
        <v>37.286168888888895</v>
      </c>
      <c r="H76" s="48">
        <f t="shared" si="7"/>
        <v>34.157668571428594</v>
      </c>
      <c r="I76" s="48">
        <f t="shared" si="8"/>
        <v>50.665968253968245</v>
      </c>
      <c r="J76" s="48">
        <f t="shared" si="9"/>
        <v>46.519415873015873</v>
      </c>
      <c r="K76" s="48">
        <f t="shared" si="10"/>
        <v>26.9967746031746</v>
      </c>
      <c r="L76" s="48">
        <f t="shared" si="11"/>
        <v>26.360253968253971</v>
      </c>
      <c r="M76" s="48">
        <f t="shared" si="12"/>
        <v>22.717244444444454</v>
      </c>
      <c r="N76" s="48">
        <f t="shared" si="13"/>
        <v>26.188673015873011</v>
      </c>
      <c r="O76" s="48">
        <f t="shared" si="14"/>
        <v>21.605803174603178</v>
      </c>
    </row>
    <row r="77" spans="1:15" x14ac:dyDescent="0.3">
      <c r="B77" s="100">
        <v>12</v>
      </c>
      <c r="C77" s="48">
        <f t="shared" si="2"/>
        <v>105.79453714285714</v>
      </c>
      <c r="D77" s="48">
        <f t="shared" si="3"/>
        <v>75.434956190476186</v>
      </c>
      <c r="E77" s="48">
        <f t="shared" si="4"/>
        <v>59.081470476190468</v>
      </c>
      <c r="F77" s="48">
        <f t="shared" si="5"/>
        <v>59.535489523809531</v>
      </c>
      <c r="G77" s="48">
        <f t="shared" si="6"/>
        <v>35.129201904761914</v>
      </c>
      <c r="H77" s="48">
        <f t="shared" si="7"/>
        <v>31.99694857142859</v>
      </c>
      <c r="I77" s="48">
        <f t="shared" si="8"/>
        <v>47.720523809523797</v>
      </c>
      <c r="J77" s="48">
        <f t="shared" si="9"/>
        <v>43.488223809523816</v>
      </c>
      <c r="K77" s="48">
        <f t="shared" si="10"/>
        <v>25.228847619047613</v>
      </c>
      <c r="L77" s="48">
        <f t="shared" si="11"/>
        <v>24.615880952380959</v>
      </c>
      <c r="M77" s="48">
        <f t="shared" si="12"/>
        <v>21.324780952380959</v>
      </c>
      <c r="N77" s="48">
        <f t="shared" si="13"/>
        <v>24.49663809523809</v>
      </c>
      <c r="O77" s="48">
        <f t="shared" si="14"/>
        <v>20.234861904761907</v>
      </c>
    </row>
    <row r="78" spans="1:15" x14ac:dyDescent="0.3">
      <c r="B78" s="100">
        <v>13</v>
      </c>
      <c r="C78" s="48">
        <f t="shared" si="2"/>
        <v>100.83769142857142</v>
      </c>
      <c r="D78" s="48">
        <f t="shared" si="3"/>
        <v>72.281558095238097</v>
      </c>
      <c r="E78" s="48">
        <f t="shared" si="4"/>
        <v>56.094758095238092</v>
      </c>
      <c r="F78" s="48">
        <f t="shared" si="5"/>
        <v>56.540453333333332</v>
      </c>
      <c r="G78" s="48">
        <f t="shared" si="6"/>
        <v>32.942769523809531</v>
      </c>
      <c r="H78" s="48">
        <f t="shared" si="7"/>
        <v>29.813965714285732</v>
      </c>
      <c r="I78" s="48">
        <f t="shared" si="8"/>
        <v>44.795904761904758</v>
      </c>
      <c r="J78" s="48">
        <f t="shared" si="9"/>
        <v>40.493276190476195</v>
      </c>
      <c r="K78" s="48">
        <f t="shared" si="10"/>
        <v>23.475866666666661</v>
      </c>
      <c r="L78" s="48">
        <f t="shared" si="11"/>
        <v>22.881619047619054</v>
      </c>
      <c r="M78" s="48">
        <f t="shared" si="12"/>
        <v>19.937504761904769</v>
      </c>
      <c r="N78" s="48">
        <f t="shared" si="13"/>
        <v>22.80693333333333</v>
      </c>
      <c r="O78" s="48">
        <f t="shared" si="14"/>
        <v>18.870780952380954</v>
      </c>
    </row>
    <row r="79" spans="1:15" x14ac:dyDescent="0.3">
      <c r="B79" s="100">
        <v>14</v>
      </c>
      <c r="C79" s="48">
        <f t="shared" si="2"/>
        <v>95.728373333333337</v>
      </c>
      <c r="D79" s="48">
        <f t="shared" si="3"/>
        <v>68.943408253968244</v>
      </c>
      <c r="E79" s="48">
        <f t="shared" si="4"/>
        <v>52.977617777777773</v>
      </c>
      <c r="F79" s="48">
        <f t="shared" si="5"/>
        <v>53.419357460317464</v>
      </c>
      <c r="G79" s="48">
        <f t="shared" si="6"/>
        <v>30.732573968253973</v>
      </c>
      <c r="H79" s="48">
        <f t="shared" si="7"/>
        <v>27.618560000000016</v>
      </c>
      <c r="I79" s="48">
        <f t="shared" si="8"/>
        <v>41.896888888888881</v>
      </c>
      <c r="J79" s="48">
        <f t="shared" si="9"/>
        <v>37.546584126984129</v>
      </c>
      <c r="K79" s="48">
        <f t="shared" si="10"/>
        <v>21.75065396825396</v>
      </c>
      <c r="L79" s="48">
        <f t="shared" si="11"/>
        <v>21.169746031746037</v>
      </c>
      <c r="M79" s="48">
        <f t="shared" si="12"/>
        <v>18.563326984126988</v>
      </c>
      <c r="N79" s="48">
        <f t="shared" si="13"/>
        <v>21.128469841269837</v>
      </c>
      <c r="O79" s="48">
        <f t="shared" si="14"/>
        <v>17.522482539682542</v>
      </c>
    </row>
    <row r="80" spans="1:15" x14ac:dyDescent="0.3">
      <c r="B80" s="100">
        <v>15</v>
      </c>
      <c r="C80" s="48">
        <f t="shared" si="2"/>
        <v>90.451809523809516</v>
      </c>
      <c r="D80" s="48">
        <f t="shared" si="3"/>
        <v>65.396888888888896</v>
      </c>
      <c r="E80" s="48">
        <f t="shared" si="4"/>
        <v>49.727365079365079</v>
      </c>
      <c r="F80" s="48">
        <f t="shared" si="5"/>
        <v>50.170539682539683</v>
      </c>
      <c r="G80" s="48">
        <f t="shared" si="6"/>
        <v>28.504317460317466</v>
      </c>
      <c r="H80" s="48">
        <f t="shared" si="7"/>
        <v>25.420571428571449</v>
      </c>
      <c r="I80" s="48">
        <f t="shared" si="8"/>
        <v>39.028253968253964</v>
      </c>
      <c r="J80" s="48">
        <f t="shared" si="9"/>
        <v>34.660158730158727</v>
      </c>
      <c r="K80" s="48">
        <f t="shared" si="10"/>
        <v>20.06603174603174</v>
      </c>
      <c r="L80" s="48">
        <f t="shared" si="11"/>
        <v>19.492539682539686</v>
      </c>
      <c r="M80" s="48">
        <f t="shared" si="12"/>
        <v>17.210158730158735</v>
      </c>
      <c r="N80" s="48">
        <f t="shared" si="13"/>
        <v>19.470158730158722</v>
      </c>
      <c r="O80" s="48">
        <f t="shared" si="14"/>
        <v>16.198888888888892</v>
      </c>
    </row>
    <row r="81" spans="1:15" x14ac:dyDescent="0.3">
      <c r="B81" s="100">
        <v>16</v>
      </c>
      <c r="C81" s="48">
        <f t="shared" si="2"/>
        <v>84.993226666666672</v>
      </c>
      <c r="D81" s="48">
        <f t="shared" si="3"/>
        <v>61.618382222222223</v>
      </c>
      <c r="E81" s="48">
        <f t="shared" si="4"/>
        <v>46.341315555555553</v>
      </c>
      <c r="F81" s="48">
        <f t="shared" si="5"/>
        <v>46.792337777777774</v>
      </c>
      <c r="G81" s="48">
        <f t="shared" si="6"/>
        <v>26.263702222222228</v>
      </c>
      <c r="H81" s="48">
        <f t="shared" si="7"/>
        <v>23.229840000000017</v>
      </c>
      <c r="I81" s="48">
        <f t="shared" si="8"/>
        <v>36.194777777777773</v>
      </c>
      <c r="J81" s="48">
        <f t="shared" si="9"/>
        <v>31.84601111111111</v>
      </c>
      <c r="K81" s="48">
        <f t="shared" si="10"/>
        <v>18.434822222222216</v>
      </c>
      <c r="L81" s="48">
        <f t="shared" si="11"/>
        <v>17.862277777777781</v>
      </c>
      <c r="M81" s="48">
        <f t="shared" si="12"/>
        <v>15.885911111111117</v>
      </c>
      <c r="N81" s="48">
        <f t="shared" si="13"/>
        <v>17.840911111111105</v>
      </c>
      <c r="O81" s="48">
        <f t="shared" si="14"/>
        <v>14.908922222222223</v>
      </c>
    </row>
    <row r="82" spans="1:15" x14ac:dyDescent="0.3">
      <c r="B82" s="100">
        <v>17</v>
      </c>
      <c r="C82" s="48">
        <f t="shared" si="2"/>
        <v>79.33785142857144</v>
      </c>
      <c r="D82" s="48">
        <f t="shared" si="3"/>
        <v>57.584270476190483</v>
      </c>
      <c r="E82" s="48">
        <f t="shared" si="4"/>
        <v>42.816784761904763</v>
      </c>
      <c r="F82" s="48">
        <f t="shared" si="5"/>
        <v>43.283089523809522</v>
      </c>
      <c r="G82" s="48">
        <f t="shared" si="6"/>
        <v>24.016430476190486</v>
      </c>
      <c r="H82" s="48">
        <f t="shared" si="7"/>
        <v>21.056205714285731</v>
      </c>
      <c r="I82" s="48">
        <f t="shared" si="8"/>
        <v>33.401238095238085</v>
      </c>
      <c r="J82" s="48">
        <f t="shared" si="9"/>
        <v>29.116152380952386</v>
      </c>
      <c r="K82" s="48">
        <f t="shared" si="10"/>
        <v>16.869847619047611</v>
      </c>
      <c r="L82" s="48">
        <f t="shared" si="11"/>
        <v>16.2912380952381</v>
      </c>
      <c r="M82" s="48">
        <f t="shared" si="12"/>
        <v>14.598495238095243</v>
      </c>
      <c r="N82" s="48">
        <f t="shared" si="13"/>
        <v>16.24963809523809</v>
      </c>
      <c r="O82" s="48">
        <f t="shared" si="14"/>
        <v>13.661504761904762</v>
      </c>
    </row>
    <row r="83" spans="1:15" x14ac:dyDescent="0.3">
      <c r="B83" s="100">
        <v>18</v>
      </c>
      <c r="C83" s="48">
        <f t="shared" si="2"/>
        <v>73.470910476190483</v>
      </c>
      <c r="D83" s="48">
        <f t="shared" si="3"/>
        <v>53.27093587301588</v>
      </c>
      <c r="E83" s="48">
        <f t="shared" si="4"/>
        <v>39.151088253968254</v>
      </c>
      <c r="F83" s="48">
        <f t="shared" si="5"/>
        <v>39.641132698412697</v>
      </c>
      <c r="G83" s="48">
        <f t="shared" si="6"/>
        <v>21.76820444444445</v>
      </c>
      <c r="H83" s="48">
        <f t="shared" si="7"/>
        <v>18.909508571428589</v>
      </c>
      <c r="I83" s="48">
        <f t="shared" si="8"/>
        <v>30.652412698412697</v>
      </c>
      <c r="J83" s="48">
        <f t="shared" si="9"/>
        <v>26.482593650793646</v>
      </c>
      <c r="K83" s="48">
        <f t="shared" si="10"/>
        <v>15.383930158730148</v>
      </c>
      <c r="L83" s="48">
        <f t="shared" si="11"/>
        <v>14.791698412698416</v>
      </c>
      <c r="M83" s="48">
        <f t="shared" si="12"/>
        <v>13.355822222222226</v>
      </c>
      <c r="N83" s="48">
        <f t="shared" si="13"/>
        <v>14.705250793650787</v>
      </c>
      <c r="O83" s="48">
        <f t="shared" si="14"/>
        <v>12.46555873015873</v>
      </c>
    </row>
    <row r="84" spans="1:15" x14ac:dyDescent="0.3">
      <c r="B84" s="100">
        <v>19</v>
      </c>
      <c r="C84" s="48">
        <f t="shared" si="2"/>
        <v>67.37763047619049</v>
      </c>
      <c r="D84" s="48">
        <f t="shared" si="3"/>
        <v>48.654760634920642</v>
      </c>
      <c r="E84" s="48">
        <f t="shared" si="4"/>
        <v>35.341541587301592</v>
      </c>
      <c r="F84" s="48">
        <f t="shared" si="5"/>
        <v>35.864805079365077</v>
      </c>
      <c r="G84" s="48">
        <f t="shared" si="6"/>
        <v>19.524726349206354</v>
      </c>
      <c r="H84" s="48">
        <f t="shared" si="7"/>
        <v>16.799588571428586</v>
      </c>
      <c r="I84" s="48">
        <f t="shared" si="8"/>
        <v>27.953079365079361</v>
      </c>
      <c r="J84" s="48">
        <f t="shared" si="9"/>
        <v>23.957346031746034</v>
      </c>
      <c r="K84" s="48">
        <f t="shared" si="10"/>
        <v>13.989892063492054</v>
      </c>
      <c r="L84" s="48">
        <f t="shared" si="11"/>
        <v>13.375936507936508</v>
      </c>
      <c r="M84" s="48">
        <f t="shared" si="12"/>
        <v>12.165803174603177</v>
      </c>
      <c r="N84" s="48">
        <f t="shared" si="13"/>
        <v>13.21666031746031</v>
      </c>
      <c r="O84" s="48">
        <f t="shared" si="14"/>
        <v>11.33000634920635</v>
      </c>
    </row>
    <row r="85" spans="1:15" x14ac:dyDescent="0.3">
      <c r="A85" s="6" t="s">
        <v>62</v>
      </c>
      <c r="B85" s="100">
        <v>20</v>
      </c>
      <c r="C85" s="48">
        <f t="shared" si="2"/>
        <v>61.043238095238081</v>
      </c>
      <c r="D85" s="48">
        <f t="shared" si="3"/>
        <v>43.712126984126989</v>
      </c>
      <c r="E85" s="48">
        <f t="shared" si="4"/>
        <v>31.385460317460321</v>
      </c>
      <c r="F85" s="48">
        <f t="shared" si="5"/>
        <v>31.952444444444438</v>
      </c>
      <c r="G85" s="48">
        <f t="shared" si="6"/>
        <v>17.291698412698423</v>
      </c>
      <c r="H85" s="48">
        <f t="shared" si="7"/>
        <v>14.736285714285728</v>
      </c>
      <c r="I85" s="48">
        <f t="shared" si="8"/>
        <v>25.308015873015869</v>
      </c>
      <c r="J85" s="48">
        <f t="shared" si="9"/>
        <v>21.552420634920637</v>
      </c>
      <c r="K85" s="48">
        <f t="shared" si="10"/>
        <v>12.700555555555542</v>
      </c>
      <c r="L85" s="48">
        <f t="shared" si="11"/>
        <v>12.056230158730159</v>
      </c>
      <c r="M85" s="48">
        <f t="shared" si="12"/>
        <v>11.036349206349211</v>
      </c>
      <c r="N85" s="48">
        <f t="shared" si="13"/>
        <v>11.792777777777772</v>
      </c>
      <c r="O85" s="48">
        <f t="shared" si="14"/>
        <v>10.263769841269841</v>
      </c>
    </row>
    <row r="89" spans="1:15" ht="15" thickBot="1" x14ac:dyDescent="0.35">
      <c r="C89" s="2" t="s">
        <v>84</v>
      </c>
      <c r="I89" s="2" t="s">
        <v>85</v>
      </c>
    </row>
    <row r="90" spans="1:15" x14ac:dyDescent="0.3">
      <c r="C90" s="56" t="s">
        <v>0</v>
      </c>
      <c r="D90" s="62">
        <f>'Vessels Values Master'!$C$10</f>
        <v>-2.4622222222222419E-3</v>
      </c>
      <c r="E90" s="49">
        <f>'Vessels Values Master'!$D$10</f>
        <v>1.9790476190476875E-2</v>
      </c>
      <c r="F90" s="49">
        <f>'Vessels Values Master'!$E$10</f>
        <v>-4.2968253968254029</v>
      </c>
      <c r="G90" s="81">
        <f>'Vessels Values Master'!$F$10</f>
        <v>158.76133333333334</v>
      </c>
      <c r="I90" s="65" t="s">
        <v>63</v>
      </c>
      <c r="J90" s="62">
        <f>'Vessels Values Master'!$C$41</f>
        <v>7.9629629629629809E-4</v>
      </c>
      <c r="K90" s="62">
        <f>'Vessels Values Master'!$D$41</f>
        <v>-1.8253968253968356E-2</v>
      </c>
      <c r="L90" s="49">
        <f>'Vessels Values Master'!$E$41</f>
        <v>-2.8417328042328025</v>
      </c>
      <c r="M90" s="81">
        <f>'Vessels Values Master'!$F$41</f>
        <v>83.073888888888874</v>
      </c>
    </row>
    <row r="91" spans="1:15" x14ac:dyDescent="0.3">
      <c r="C91" s="57" t="s">
        <v>5</v>
      </c>
      <c r="D91" s="52">
        <f>'Vessels Values Master'!$I$10</f>
        <v>-3.9362962962962988E-3</v>
      </c>
      <c r="E91" s="50">
        <f>'Vessels Values Master'!$J$10</f>
        <v>6.1139682539682688E-2</v>
      </c>
      <c r="F91" s="50">
        <f>'Vessels Values Master'!$K$10</f>
        <v>-2.8357671957671973</v>
      </c>
      <c r="G91" s="51">
        <f>'Vessels Values Master'!$L$10</f>
        <v>107.46196825396825</v>
      </c>
      <c r="I91" s="66" t="s">
        <v>13</v>
      </c>
      <c r="J91" s="54">
        <f>'Vessels Values Master'!$I$41</f>
        <v>2.0018518518518536E-3</v>
      </c>
      <c r="K91" s="54">
        <f>'Vessels Values Master'!$J$41</f>
        <v>-5.3944444444444566E-2</v>
      </c>
      <c r="L91" s="54">
        <f>'Vessels Values Master'!$K$41</f>
        <v>-2.5852050264550246</v>
      </c>
      <c r="M91" s="55">
        <f>'Vessels Values Master'!$L$41</f>
        <v>78.819484126984122</v>
      </c>
    </row>
    <row r="92" spans="1:15" x14ac:dyDescent="0.3">
      <c r="C92" s="57" t="s">
        <v>7</v>
      </c>
      <c r="D92" s="52">
        <f>'Vessels Values Master'!$O$10</f>
        <v>-4.4740740740741453E-4</v>
      </c>
      <c r="E92" s="50">
        <f>'Vessels Values Master'!$P$10</f>
        <v>-4.7765079365079087E-2</v>
      </c>
      <c r="F92" s="50">
        <f>'Vessels Values Master'!$Q$10</f>
        <v>-1.5827513227513246</v>
      </c>
      <c r="G92" s="51">
        <f>'Vessels Values Master'!$R$10</f>
        <v>85.725777777777765</v>
      </c>
      <c r="I92" s="66" t="s">
        <v>53</v>
      </c>
      <c r="J92" s="52">
        <f>'Vessels Values Master'!$O$41</f>
        <v>2.1370370370370402E-3</v>
      </c>
      <c r="K92" s="52">
        <f>'Vessels Values Master'!$P$41</f>
        <v>-6.9460317460317667E-2</v>
      </c>
      <c r="L92" s="52">
        <f>'Vessels Values Master'!$Q$41</f>
        <v>-1.018743386243383</v>
      </c>
      <c r="M92" s="53">
        <f>'Vessels Values Master'!$R$41</f>
        <v>43.763253968253949</v>
      </c>
    </row>
    <row r="93" spans="1:15" x14ac:dyDescent="0.3">
      <c r="C93" s="57" t="s">
        <v>8</v>
      </c>
      <c r="D93" s="52">
        <f>'Vessels Values Master'!$C$19</f>
        <v>-2.7703703703703598E-4</v>
      </c>
      <c r="E93" s="50">
        <f>'Vessels Values Master'!$D$19</f>
        <v>-5.2225396825396973E-2</v>
      </c>
      <c r="F93" s="50">
        <f>'Vessels Values Master'!$E$19</f>
        <v>-1.5594708994708968</v>
      </c>
      <c r="G93" s="51">
        <f>'Vessels Values Master'!$F$19</f>
        <v>86.248317460317452</v>
      </c>
      <c r="I93" s="66" t="s">
        <v>54</v>
      </c>
      <c r="J93" s="52">
        <f>'Vessels Values Master'!$C$50</f>
        <v>2.046296296296303E-3</v>
      </c>
      <c r="K93" s="52">
        <f>'Vessels Values Master'!$D$50</f>
        <v>-6.86111111111114E-2</v>
      </c>
      <c r="L93" s="52">
        <f>'Vessels Values Master'!$E$50</f>
        <v>-0.97869708994708637</v>
      </c>
      <c r="M93" s="53">
        <f>'Vessels Values Master'!$F$50</f>
        <v>42.704246031746024</v>
      </c>
    </row>
    <row r="94" spans="1:15" x14ac:dyDescent="0.3">
      <c r="C94" s="61" t="s">
        <v>9</v>
      </c>
      <c r="D94" s="59">
        <f>'Vessels Values Master'!$I$19</f>
        <v>9.5037037037037767E-4</v>
      </c>
      <c r="E94" s="59">
        <f>'Vessels Values Master'!$J$19</f>
        <v>-4.8946031746032015E-2</v>
      </c>
      <c r="F94" s="59">
        <f>'Vessels Values Master'!$K$19</f>
        <v>-1.4085052910052882</v>
      </c>
      <c r="G94" s="91">
        <f>'Vessels Values Master'!$L$19</f>
        <v>57.43725396825397</v>
      </c>
      <c r="I94" s="66" t="s">
        <v>14</v>
      </c>
      <c r="J94" s="54">
        <f>'Vessels Values Master'!$I$50</f>
        <v>1.3185185185185229E-3</v>
      </c>
      <c r="K94" s="54">
        <f>'Vessels Values Master'!$J$50</f>
        <v>-4.4873015873016071E-2</v>
      </c>
      <c r="L94" s="54">
        <f>'Vessels Values Master'!$K$50</f>
        <v>-0.88383597883597642</v>
      </c>
      <c r="M94" s="55">
        <f>'Vessels Values Master'!$L$50</f>
        <v>36.114126984126983</v>
      </c>
    </row>
    <row r="95" spans="1:15" ht="15" thickBot="1" x14ac:dyDescent="0.35">
      <c r="C95" s="58" t="s">
        <v>61</v>
      </c>
      <c r="D95" s="60">
        <f>'Vessels Values Master'!$O$19</f>
        <v>1.6400000000000069E-3</v>
      </c>
      <c r="E95" s="60">
        <f>'Vessels Values Master'!$P$19</f>
        <v>-7.017142857142894E-2</v>
      </c>
      <c r="F95" s="60">
        <f>'Vessels Values Master'!$Q$19</f>
        <v>-1.1978571428571374</v>
      </c>
      <c r="G95" s="92">
        <f>'Vessels Values Master'!$R$19</f>
        <v>53.641999999999996</v>
      </c>
      <c r="I95" s="66" t="s">
        <v>52</v>
      </c>
      <c r="J95" s="54">
        <f>'Vessels Values Master'!$O$50</f>
        <v>1.4851851851851931E-3</v>
      </c>
      <c r="K95" s="54">
        <f>'Vessels Values Master'!$P$50</f>
        <v>-5.230158730158762E-2</v>
      </c>
      <c r="L95" s="54">
        <f>'Vessels Values Master'!$Q$50</f>
        <v>-1.0787169312169276</v>
      </c>
      <c r="M95" s="55">
        <f>'Vessels Values Master'!$R$50</f>
        <v>42.406269841269825</v>
      </c>
    </row>
    <row r="96" spans="1:15" ht="15" thickBot="1" x14ac:dyDescent="0.35">
      <c r="C96" s="78"/>
      <c r="D96" s="79"/>
      <c r="E96" s="79"/>
      <c r="F96" s="79"/>
      <c r="G96" s="79"/>
      <c r="I96" s="67" t="s">
        <v>15</v>
      </c>
      <c r="J96" s="93">
        <f>'Vessels Values Master'!$U$50</f>
        <v>1.4870370370370406E-3</v>
      </c>
      <c r="K96" s="93">
        <f>'Vessels Values Master'!$V$50</f>
        <v>-5.0103174603174767E-2</v>
      </c>
      <c r="L96" s="93">
        <f>'Vessels Values Master'!$W$50</f>
        <v>-0.80892195767195574</v>
      </c>
      <c r="M96" s="94">
        <f>'Vessels Values Master'!$X$50</f>
        <v>34.587182539682537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 Master</vt:lpstr>
      <vt:lpstr>Vessels Values Master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2022-10-10T13:33:44Z</dcterms:created>
  <dcterms:modified xsi:type="dcterms:W3CDTF">2026-09-05T08:57:59Z</dcterms:modified>
</cp:coreProperties>
</file>