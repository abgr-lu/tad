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21828" windowHeight="9276" activeTab="1"/>
  </bookViews>
  <sheets>
    <sheet name="Cover" sheetId="9" r:id="rId1"/>
    <sheet name="NAV" sheetId="5" r:id="rId2"/>
    <sheet name="P&amp;L" sheetId="6" r:id="rId3"/>
    <sheet name="Balance" sheetId="7" r:id="rId4"/>
    <sheet name="CashFlow" sheetId="8" r:id="rId5"/>
  </sheets>
  <externalReferences>
    <externalReference r:id="rId6"/>
  </externalReferences>
  <calcPr calcId="144525"/>
</workbook>
</file>

<file path=xl/calcChain.xml><?xml version="1.0" encoding="utf-8"?>
<calcChain xmlns="http://schemas.openxmlformats.org/spreadsheetml/2006/main">
  <c r="P27" i="5" l="1"/>
  <c r="Q27" i="5" s="1"/>
  <c r="R27" i="5" s="1"/>
  <c r="O27" i="5"/>
  <c r="P26" i="5"/>
  <c r="Q26" i="5" s="1"/>
  <c r="R26" i="5" s="1"/>
  <c r="O26" i="5"/>
  <c r="P25" i="5"/>
  <c r="Q25" i="5" s="1"/>
  <c r="R25" i="5" s="1"/>
  <c r="O25" i="5"/>
  <c r="H20" i="6" l="1"/>
  <c r="H10" i="8"/>
  <c r="K10" i="6"/>
  <c r="J10" i="6"/>
  <c r="I47" i="7"/>
  <c r="H47" i="7"/>
  <c r="I75" i="7"/>
  <c r="H75" i="7"/>
  <c r="K6" i="8"/>
  <c r="K70" i="7"/>
  <c r="R8" i="5" s="1"/>
  <c r="K44" i="7"/>
  <c r="K28" i="7"/>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43" i="6"/>
  <c r="K41" i="6"/>
  <c r="K30" i="6"/>
  <c r="K21" i="6"/>
  <c r="R23" i="5"/>
  <c r="R12" i="5"/>
  <c r="R9" i="5"/>
  <c r="G60" i="8"/>
  <c r="G63" i="8"/>
  <c r="G59" i="8"/>
  <c r="G58" i="8"/>
  <c r="G57" i="8"/>
  <c r="G56" i="8"/>
  <c r="G51" i="8"/>
  <c r="G52" i="8" s="1"/>
  <c r="G46" i="8"/>
  <c r="G45" i="8"/>
  <c r="F52" i="8"/>
  <c r="G40" i="8"/>
  <c r="J47" i="7"/>
  <c r="K47" i="7" s="1"/>
  <c r="H60" i="8"/>
  <c r="K3" i="6" l="1"/>
  <c r="K4" i="6" s="1"/>
  <c r="K23" i="6" s="1"/>
  <c r="K45" i="6" s="1"/>
  <c r="K51" i="7"/>
  <c r="K53" i="7" s="1"/>
  <c r="K62" i="7"/>
  <c r="P49" i="5"/>
  <c r="O49" i="5"/>
  <c r="N49" i="5"/>
  <c r="M49" i="5"/>
  <c r="P48" i="5"/>
  <c r="O48" i="5"/>
  <c r="N48" i="5"/>
  <c r="M48" i="5"/>
  <c r="P47" i="5"/>
  <c r="O47" i="5"/>
  <c r="N47" i="5"/>
  <c r="M47" i="5"/>
  <c r="P46" i="5"/>
  <c r="O46" i="5"/>
  <c r="N46" i="5"/>
  <c r="M46" i="5"/>
  <c r="P45" i="5"/>
  <c r="O45" i="5"/>
  <c r="N45" i="5"/>
  <c r="M45" i="5"/>
  <c r="P44" i="5"/>
  <c r="O44" i="5"/>
  <c r="N44" i="5"/>
  <c r="M44" i="5"/>
  <c r="L2" i="5"/>
  <c r="R31" i="5" s="1"/>
  <c r="K32" i="6" l="1"/>
  <c r="K35" i="6" s="1"/>
  <c r="K4" i="8" s="1"/>
  <c r="K40" i="8" s="1"/>
  <c r="R6" i="5"/>
  <c r="K46" i="6"/>
  <c r="K47" i="6" s="1"/>
  <c r="Q12" i="5"/>
  <c r="P12" i="5"/>
  <c r="O12" i="5"/>
  <c r="N12" i="5"/>
  <c r="M12" i="5"/>
  <c r="H89" i="5"/>
  <c r="H88" i="5"/>
  <c r="H87" i="5"/>
  <c r="Q9" i="5"/>
  <c r="P9" i="5"/>
  <c r="O9" i="5"/>
  <c r="N9" i="5"/>
  <c r="H86" i="5"/>
  <c r="J70" i="7"/>
  <c r="I70" i="7"/>
  <c r="P8" i="5" s="1"/>
  <c r="H70" i="7"/>
  <c r="O8" i="5" s="1"/>
  <c r="G70" i="7"/>
  <c r="N8" i="5" s="1"/>
  <c r="F70" i="7"/>
  <c r="M8" i="5" s="1"/>
  <c r="E70" i="7"/>
  <c r="D70" i="7"/>
  <c r="C70" i="7"/>
  <c r="M7" i="5"/>
  <c r="E64" i="7"/>
  <c r="D64" i="7"/>
  <c r="C64" i="7"/>
  <c r="J62" i="7"/>
  <c r="I62" i="7"/>
  <c r="P6" i="5" s="1"/>
  <c r="H62" i="7"/>
  <c r="H57" i="8" s="1"/>
  <c r="G62" i="7"/>
  <c r="N6" i="5" s="1"/>
  <c r="F62" i="7"/>
  <c r="M6" i="5" s="1"/>
  <c r="E62" i="7"/>
  <c r="D62" i="7"/>
  <c r="C62" i="7"/>
  <c r="J45" i="8"/>
  <c r="J52" i="8" s="1"/>
  <c r="I45" i="8"/>
  <c r="I52" i="8" s="1"/>
  <c r="H45" i="8"/>
  <c r="H52" i="8" s="1"/>
  <c r="J6" i="8"/>
  <c r="I6" i="8"/>
  <c r="H6" i="8"/>
  <c r="H19" i="7"/>
  <c r="I19" i="7" s="1"/>
  <c r="J19" i="7" s="1"/>
  <c r="K19" i="7" s="1"/>
  <c r="K20" i="7" s="1"/>
  <c r="K45" i="8"/>
  <c r="I259" i="6"/>
  <c r="I243"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F46" i="6"/>
  <c r="E46" i="6"/>
  <c r="D46" i="6"/>
  <c r="C45" i="6"/>
  <c r="C46" i="6"/>
  <c r="F45" i="6"/>
  <c r="E45" i="6"/>
  <c r="D45" i="6"/>
  <c r="K37" i="6" l="1"/>
  <c r="K38" i="6"/>
  <c r="Q8" i="5"/>
  <c r="K71" i="7"/>
  <c r="Q6" i="5"/>
  <c r="K63" i="7"/>
  <c r="K57" i="8"/>
  <c r="K52" i="8"/>
  <c r="K72" i="8"/>
  <c r="I247" i="6"/>
  <c r="I263" i="6"/>
  <c r="I251" i="6"/>
  <c r="I267" i="6"/>
  <c r="I239" i="6"/>
  <c r="I255" i="6"/>
  <c r="I271" i="6"/>
  <c r="I241" i="6"/>
  <c r="I249" i="6"/>
  <c r="I257" i="6"/>
  <c r="I265" i="6"/>
  <c r="I273" i="6"/>
  <c r="I237" i="6"/>
  <c r="I245" i="6"/>
  <c r="I253" i="6"/>
  <c r="I261" i="6"/>
  <c r="I269" i="6"/>
  <c r="F64" i="7"/>
  <c r="O6" i="5"/>
  <c r="I57" i="8"/>
  <c r="J57" i="8"/>
  <c r="I233" i="6"/>
  <c r="I236" i="6"/>
  <c r="I234" i="6"/>
  <c r="I232" i="6"/>
  <c r="I235"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H351" i="6"/>
  <c r="H349" i="6"/>
  <c r="H347" i="6"/>
  <c r="H345" i="6"/>
  <c r="H343" i="6"/>
  <c r="H341" i="6"/>
  <c r="H339" i="6"/>
  <c r="H337" i="6"/>
  <c r="H335" i="6"/>
  <c r="H333" i="6"/>
  <c r="H331" i="6"/>
  <c r="H329" i="6"/>
  <c r="H327" i="6"/>
  <c r="H325" i="6"/>
  <c r="H323" i="6"/>
  <c r="H321" i="6"/>
  <c r="H319" i="6"/>
  <c r="H317" i="6"/>
  <c r="H315" i="6"/>
  <c r="H313" i="6"/>
  <c r="H311" i="6"/>
  <c r="H309" i="6"/>
  <c r="H307" i="6"/>
  <c r="H305" i="6"/>
  <c r="H303" i="6"/>
  <c r="H301" i="6"/>
  <c r="H299" i="6"/>
  <c r="H297" i="6"/>
  <c r="H295" i="6"/>
  <c r="H293" i="6"/>
  <c r="H352" i="6"/>
  <c r="H350" i="6"/>
  <c r="H348" i="6"/>
  <c r="H346" i="6"/>
  <c r="H344" i="6"/>
  <c r="H342" i="6"/>
  <c r="H340" i="6"/>
  <c r="H338" i="6"/>
  <c r="H336" i="6"/>
  <c r="H334" i="6"/>
  <c r="H332" i="6"/>
  <c r="H330" i="6"/>
  <c r="H328" i="6"/>
  <c r="H326" i="6"/>
  <c r="H324" i="6"/>
  <c r="H322" i="6"/>
  <c r="H320" i="6"/>
  <c r="H318" i="6"/>
  <c r="H316" i="6"/>
  <c r="H314" i="6"/>
  <c r="H312" i="6"/>
  <c r="H310" i="6"/>
  <c r="H308" i="6"/>
  <c r="H306" i="6"/>
  <c r="H304" i="6"/>
  <c r="H302" i="6"/>
  <c r="H300" i="6"/>
  <c r="H298" i="6"/>
  <c r="H296" i="6"/>
  <c r="H294" i="6"/>
  <c r="H292" i="6"/>
  <c r="I291" i="6"/>
  <c r="I290" i="6"/>
  <c r="I289" i="6"/>
  <c r="I288" i="6"/>
  <c r="I287" i="6"/>
  <c r="I286" i="6"/>
  <c r="I285" i="6"/>
  <c r="I284" i="6"/>
  <c r="I283" i="6"/>
  <c r="I282" i="6"/>
  <c r="I281" i="6"/>
  <c r="I280" i="6"/>
  <c r="I279" i="6"/>
  <c r="I278" i="6"/>
  <c r="I277" i="6"/>
  <c r="I276" i="6"/>
  <c r="I275" i="6"/>
  <c r="I238" i="6"/>
  <c r="I240" i="6"/>
  <c r="I242" i="6"/>
  <c r="I244" i="6"/>
  <c r="I246" i="6"/>
  <c r="I248" i="6"/>
  <c r="I250" i="6"/>
  <c r="I252" i="6"/>
  <c r="I254" i="6"/>
  <c r="I256" i="6"/>
  <c r="I258" i="6"/>
  <c r="I260" i="6"/>
  <c r="I262" i="6"/>
  <c r="I264" i="6"/>
  <c r="I266" i="6"/>
  <c r="I268" i="6"/>
  <c r="I270" i="6"/>
  <c r="I272" i="6"/>
  <c r="I274" i="6"/>
  <c r="H236" i="6"/>
  <c r="H235" i="6"/>
  <c r="H234" i="6"/>
  <c r="H233" i="6"/>
  <c r="H232" i="6"/>
  <c r="H231" i="6"/>
  <c r="H291" i="6"/>
  <c r="H289" i="6"/>
  <c r="H287" i="6"/>
  <c r="H285" i="6"/>
  <c r="H283" i="6"/>
  <c r="H281" i="6"/>
  <c r="H279" i="6"/>
  <c r="H277" i="6"/>
  <c r="H275" i="6"/>
  <c r="H274" i="6"/>
  <c r="H273" i="6"/>
  <c r="H272" i="6"/>
  <c r="H271" i="6"/>
  <c r="H270" i="6"/>
  <c r="H269" i="6"/>
  <c r="H268" i="6"/>
  <c r="H267" i="6"/>
  <c r="H266" i="6"/>
  <c r="H265" i="6"/>
  <c r="H264" i="6"/>
  <c r="H263" i="6"/>
  <c r="H262" i="6"/>
  <c r="H261" i="6"/>
  <c r="H260" i="6"/>
  <c r="H259" i="6"/>
  <c r="H258" i="6"/>
  <c r="H257" i="6"/>
  <c r="H256" i="6"/>
  <c r="H255" i="6"/>
  <c r="H254" i="6"/>
  <c r="H253" i="6"/>
  <c r="H252" i="6"/>
  <c r="H251" i="6"/>
  <c r="H250" i="6"/>
  <c r="H249" i="6"/>
  <c r="H248" i="6"/>
  <c r="H247" i="6"/>
  <c r="H246" i="6"/>
  <c r="H245" i="6"/>
  <c r="H244" i="6"/>
  <c r="H243" i="6"/>
  <c r="H242" i="6"/>
  <c r="H241" i="6"/>
  <c r="H240" i="6"/>
  <c r="H239" i="6"/>
  <c r="H238" i="6"/>
  <c r="H237" i="6"/>
  <c r="H290" i="6"/>
  <c r="H288" i="6"/>
  <c r="H286" i="6"/>
  <c r="H284" i="6"/>
  <c r="H282" i="6"/>
  <c r="H280" i="6"/>
  <c r="H278" i="6"/>
  <c r="H276" i="6"/>
  <c r="F45" i="8"/>
  <c r="F72" i="8" s="1"/>
  <c r="F73" i="8" s="1"/>
  <c r="D20" i="7"/>
  <c r="C20" i="7"/>
  <c r="E20" i="7"/>
  <c r="F20" i="7"/>
  <c r="G20" i="7"/>
  <c r="H20" i="7"/>
  <c r="I20" i="7"/>
  <c r="J20" i="7"/>
  <c r="K73" i="8" l="1"/>
  <c r="H3" i="6"/>
  <c r="H4" i="6" s="1"/>
  <c r="J236" i="6"/>
  <c r="J235" i="6"/>
  <c r="J234" i="6"/>
  <c r="J233" i="6"/>
  <c r="J232" i="6"/>
  <c r="J231" i="6"/>
  <c r="J228" i="6"/>
  <c r="J225" i="6"/>
  <c r="J223" i="6"/>
  <c r="J221" i="6"/>
  <c r="J220" i="6"/>
  <c r="J218" i="6"/>
  <c r="J216" i="6"/>
  <c r="J215" i="6"/>
  <c r="J213" i="6"/>
  <c r="J211" i="6"/>
  <c r="J209" i="6"/>
  <c r="J208" i="6"/>
  <c r="J206" i="6"/>
  <c r="J205" i="6"/>
  <c r="J230" i="6"/>
  <c r="J229" i="6"/>
  <c r="J227" i="6"/>
  <c r="J226" i="6"/>
  <c r="J224" i="6"/>
  <c r="J222" i="6"/>
  <c r="J219" i="6"/>
  <c r="J217" i="6"/>
  <c r="J214" i="6"/>
  <c r="J212" i="6"/>
  <c r="J210" i="6"/>
  <c r="J207" i="6"/>
  <c r="J204"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J51" i="7"/>
  <c r="I51" i="7"/>
  <c r="H51" i="7"/>
  <c r="G51" i="7"/>
  <c r="F51" i="7"/>
  <c r="E51" i="7"/>
  <c r="D51" i="7"/>
  <c r="C51" i="7"/>
  <c r="J44" i="7"/>
  <c r="I44" i="7"/>
  <c r="H44" i="7"/>
  <c r="G44" i="7"/>
  <c r="F44" i="7"/>
  <c r="E44" i="7"/>
  <c r="D44" i="7"/>
  <c r="C44" i="7"/>
  <c r="J28" i="7"/>
  <c r="I28" i="7"/>
  <c r="H28" i="7"/>
  <c r="G28" i="7"/>
  <c r="F28" i="7"/>
  <c r="E28" i="7"/>
  <c r="D28" i="7"/>
  <c r="C28" i="7"/>
  <c r="F15" i="7"/>
  <c r="E15" i="7"/>
  <c r="E30" i="7" s="1"/>
  <c r="D15" i="7"/>
  <c r="D30" i="7" s="1"/>
  <c r="C15" i="7"/>
  <c r="C30" i="7" s="1"/>
  <c r="E35" i="6"/>
  <c r="D35" i="6"/>
  <c r="C35" i="6"/>
  <c r="E32" i="6"/>
  <c r="D32" i="6"/>
  <c r="C32" i="6"/>
  <c r="J30" i="6"/>
  <c r="I30" i="6"/>
  <c r="H30" i="6"/>
  <c r="G30" i="6"/>
  <c r="F30" i="6"/>
  <c r="E30" i="6"/>
  <c r="D30" i="6"/>
  <c r="C30" i="6"/>
  <c r="E23" i="6"/>
  <c r="D23" i="6"/>
  <c r="C23" i="6"/>
  <c r="J21" i="6"/>
  <c r="I21" i="6"/>
  <c r="H21" i="6"/>
  <c r="G21" i="6"/>
  <c r="F21" i="6"/>
  <c r="E21" i="6"/>
  <c r="D21" i="6"/>
  <c r="C21" i="6"/>
  <c r="G4" i="6"/>
  <c r="F4" i="6"/>
  <c r="E4" i="6"/>
  <c r="D4" i="6"/>
  <c r="C4" i="6"/>
  <c r="I3" i="6" l="1"/>
  <c r="I4" i="6" s="1"/>
  <c r="I23" i="6" s="1"/>
  <c r="I45" i="6" s="1"/>
  <c r="I46" i="6" s="1"/>
  <c r="H23" i="6"/>
  <c r="H45" i="6" s="1"/>
  <c r="H46" i="6" s="1"/>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3" i="6" s="1"/>
  <c r="J4" i="6" s="1"/>
  <c r="J23" i="6" s="1"/>
  <c r="J45" i="6" s="1"/>
  <c r="J46" i="6" s="1"/>
  <c r="J292" i="6"/>
  <c r="H53" i="7"/>
  <c r="G23" i="6"/>
  <c r="G45" i="6" s="1"/>
  <c r="F30" i="7"/>
  <c r="G53" i="7"/>
  <c r="I53" i="7"/>
  <c r="F53" i="7"/>
  <c r="F57" i="7" s="1"/>
  <c r="J53" i="7"/>
  <c r="F23" i="6"/>
  <c r="F32" i="6" s="1"/>
  <c r="F35" i="6" s="1"/>
  <c r="C53" i="7"/>
  <c r="C57" i="7" s="1"/>
  <c r="C58" i="7" s="1"/>
  <c r="E53" i="7"/>
  <c r="E57" i="7" s="1"/>
  <c r="E58" i="7" s="1"/>
  <c r="D53" i="7"/>
  <c r="D57" i="7" s="1"/>
  <c r="D58" i="7" s="1"/>
  <c r="G64" i="8"/>
  <c r="F64" i="8"/>
  <c r="E64" i="8"/>
  <c r="D64" i="8"/>
  <c r="C64" i="8"/>
  <c r="H85" i="5"/>
  <c r="H84" i="5"/>
  <c r="H32" i="6" l="1"/>
  <c r="H35" i="6" s="1"/>
  <c r="H4" i="8" s="1"/>
  <c r="R34" i="5"/>
  <c r="G32" i="6"/>
  <c r="G35" i="6" s="1"/>
  <c r="I32" i="6"/>
  <c r="I35" i="6" s="1"/>
  <c r="I4" i="8" s="1"/>
  <c r="G46" i="6"/>
  <c r="P34" i="5"/>
  <c r="P31" i="5"/>
  <c r="J32" i="6"/>
  <c r="J35" i="6" s="1"/>
  <c r="J4" i="8" s="1"/>
  <c r="F58" i="7"/>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50" i="5"/>
  <c r="H149" i="5"/>
  <c r="H148" i="5"/>
  <c r="H107" i="5"/>
  <c r="H106" i="5"/>
  <c r="H105" i="5"/>
  <c r="H104" i="5"/>
  <c r="H103" i="5"/>
  <c r="H102" i="5"/>
  <c r="H101" i="5"/>
  <c r="H100" i="5"/>
  <c r="H99" i="5"/>
  <c r="H98" i="5"/>
  <c r="H97" i="5"/>
  <c r="H96" i="5"/>
  <c r="H95" i="5"/>
  <c r="H94" i="5"/>
  <c r="H93" i="5"/>
  <c r="H92" i="5"/>
  <c r="H91" i="5"/>
  <c r="H90"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3" i="5"/>
  <c r="H32" i="5"/>
  <c r="H31" i="5"/>
  <c r="I31" i="5" s="1"/>
  <c r="J31" i="5" s="1"/>
  <c r="H30" i="5"/>
  <c r="H29" i="5"/>
  <c r="H28" i="5"/>
  <c r="H27" i="5"/>
  <c r="I27" i="5" s="1"/>
  <c r="J27" i="5" s="1"/>
  <c r="H26" i="5"/>
  <c r="H25" i="5"/>
  <c r="H24" i="5"/>
  <c r="H23" i="5"/>
  <c r="I23" i="5" s="1"/>
  <c r="J23" i="5" s="1"/>
  <c r="H22" i="5"/>
  <c r="H21" i="5"/>
  <c r="H20" i="5"/>
  <c r="H19" i="5"/>
  <c r="I19" i="5" s="1"/>
  <c r="J19" i="5" s="1"/>
  <c r="H18" i="5"/>
  <c r="H17" i="5"/>
  <c r="H16" i="5"/>
  <c r="H15" i="5"/>
  <c r="I15" i="5" s="1"/>
  <c r="J15" i="5" s="1"/>
  <c r="H14" i="5"/>
  <c r="H13" i="5"/>
  <c r="H12" i="5"/>
  <c r="H11" i="5"/>
  <c r="I11" i="5" s="1"/>
  <c r="J11" i="5" s="1"/>
  <c r="H10" i="5"/>
  <c r="H9" i="5"/>
  <c r="H8" i="5"/>
  <c r="H7" i="5"/>
  <c r="I7" i="5" s="1"/>
  <c r="J7" i="5" s="1"/>
  <c r="H6" i="5"/>
  <c r="H5" i="5"/>
  <c r="H4" i="5"/>
  <c r="H3" i="5"/>
  <c r="I3" i="5" s="1"/>
  <c r="J3" i="5" s="1"/>
  <c r="H2" i="5"/>
  <c r="G57" i="7" l="1"/>
  <c r="I87" i="5"/>
  <c r="J87" i="5" s="1"/>
  <c r="I88" i="5"/>
  <c r="J88" i="5" s="1"/>
  <c r="I89" i="5"/>
  <c r="J89" i="5" s="1"/>
  <c r="I35" i="5"/>
  <c r="J35" i="5" s="1"/>
  <c r="I39" i="5"/>
  <c r="J39" i="5" s="1"/>
  <c r="I43" i="5"/>
  <c r="J43" i="5" s="1"/>
  <c r="I47" i="5"/>
  <c r="J47" i="5" s="1"/>
  <c r="I51" i="5"/>
  <c r="J51" i="5" s="1"/>
  <c r="I55" i="5"/>
  <c r="J55" i="5" s="1"/>
  <c r="I59" i="5"/>
  <c r="J59" i="5" s="1"/>
  <c r="I63" i="5"/>
  <c r="J63" i="5" s="1"/>
  <c r="I67" i="5"/>
  <c r="J67" i="5" s="1"/>
  <c r="I71" i="5"/>
  <c r="J71" i="5" s="1"/>
  <c r="I75" i="5"/>
  <c r="J75" i="5" s="1"/>
  <c r="I91" i="5"/>
  <c r="J91" i="5" s="1"/>
  <c r="I95" i="5"/>
  <c r="J95" i="5" s="1"/>
  <c r="I99" i="5"/>
  <c r="J99" i="5" s="1"/>
  <c r="I103" i="5"/>
  <c r="J103" i="5" s="1"/>
  <c r="I107" i="5"/>
  <c r="J107" i="5" s="1"/>
  <c r="I149" i="5"/>
  <c r="J149" i="5" s="1"/>
  <c r="I113" i="5"/>
  <c r="J113" i="5" s="1"/>
  <c r="I117" i="5"/>
  <c r="J117" i="5" s="1"/>
  <c r="I121" i="5"/>
  <c r="J121" i="5" s="1"/>
  <c r="I125" i="5"/>
  <c r="J125" i="5" s="1"/>
  <c r="I129" i="5"/>
  <c r="J129" i="5" s="1"/>
  <c r="I133" i="5"/>
  <c r="J133" i="5" s="1"/>
  <c r="I137" i="5"/>
  <c r="J137" i="5" s="1"/>
  <c r="I83" i="5"/>
  <c r="J83" i="5" s="1"/>
  <c r="I6" i="5"/>
  <c r="J6" i="5" s="1"/>
  <c r="I10" i="5"/>
  <c r="J10" i="5" s="1"/>
  <c r="I14" i="5"/>
  <c r="J14" i="5" s="1"/>
  <c r="I18" i="5"/>
  <c r="J18" i="5" s="1"/>
  <c r="I22" i="5"/>
  <c r="J22" i="5" s="1"/>
  <c r="I26" i="5"/>
  <c r="J26" i="5" s="1"/>
  <c r="I30" i="5"/>
  <c r="J30" i="5" s="1"/>
  <c r="I38" i="5"/>
  <c r="J38" i="5" s="1"/>
  <c r="I42" i="5"/>
  <c r="J42" i="5" s="1"/>
  <c r="I46" i="5"/>
  <c r="J46" i="5" s="1"/>
  <c r="I50" i="5"/>
  <c r="J50" i="5" s="1"/>
  <c r="I58" i="5"/>
  <c r="J58" i="5" s="1"/>
  <c r="I62" i="5"/>
  <c r="J62" i="5" s="1"/>
  <c r="I66" i="5"/>
  <c r="J66" i="5" s="1"/>
  <c r="I70" i="5"/>
  <c r="J70" i="5" s="1"/>
  <c r="I74" i="5"/>
  <c r="J74" i="5" s="1"/>
  <c r="I90" i="5"/>
  <c r="J90" i="5" s="1"/>
  <c r="I94" i="5"/>
  <c r="J94" i="5" s="1"/>
  <c r="I98" i="5"/>
  <c r="J98" i="5" s="1"/>
  <c r="I102" i="5"/>
  <c r="J102" i="5" s="1"/>
  <c r="I4" i="5"/>
  <c r="J4" i="5" s="1"/>
  <c r="I8" i="5"/>
  <c r="J8" i="5" s="1"/>
  <c r="I12" i="5"/>
  <c r="J12" i="5" s="1"/>
  <c r="I16" i="5"/>
  <c r="J16" i="5" s="1"/>
  <c r="I20" i="5"/>
  <c r="J20" i="5" s="1"/>
  <c r="I24" i="5"/>
  <c r="J24" i="5" s="1"/>
  <c r="I28" i="5"/>
  <c r="J28" i="5" s="1"/>
  <c r="I32" i="5"/>
  <c r="J32" i="5" s="1"/>
  <c r="I36" i="5"/>
  <c r="J36" i="5" s="1"/>
  <c r="I40" i="5"/>
  <c r="J40" i="5" s="1"/>
  <c r="I44" i="5"/>
  <c r="J44" i="5" s="1"/>
  <c r="I48" i="5"/>
  <c r="J48" i="5" s="1"/>
  <c r="I52" i="5"/>
  <c r="J52" i="5" s="1"/>
  <c r="I56" i="5"/>
  <c r="J56" i="5" s="1"/>
  <c r="I60" i="5"/>
  <c r="J60" i="5" s="1"/>
  <c r="I64" i="5"/>
  <c r="J64" i="5" s="1"/>
  <c r="I68" i="5"/>
  <c r="J68" i="5" s="1"/>
  <c r="I72" i="5"/>
  <c r="J72" i="5" s="1"/>
  <c r="I76" i="5"/>
  <c r="J76" i="5" s="1"/>
  <c r="I92" i="5"/>
  <c r="J92" i="5" s="1"/>
  <c r="I96" i="5"/>
  <c r="J96" i="5" s="1"/>
  <c r="I100" i="5"/>
  <c r="J100" i="5" s="1"/>
  <c r="I104" i="5"/>
  <c r="J104" i="5" s="1"/>
  <c r="I150" i="5"/>
  <c r="J150" i="5" s="1"/>
  <c r="I114" i="5"/>
  <c r="J114" i="5" s="1"/>
  <c r="I118" i="5"/>
  <c r="J118" i="5" s="1"/>
  <c r="I122" i="5"/>
  <c r="J122" i="5" s="1"/>
  <c r="I126" i="5"/>
  <c r="J126" i="5" s="1"/>
  <c r="I130" i="5"/>
  <c r="J130" i="5" s="1"/>
  <c r="I134" i="5"/>
  <c r="J134" i="5" s="1"/>
  <c r="I138" i="5"/>
  <c r="J138" i="5" s="1"/>
  <c r="I5" i="5"/>
  <c r="J5" i="5" s="1"/>
  <c r="I9" i="5"/>
  <c r="J9" i="5" s="1"/>
  <c r="I13" i="5"/>
  <c r="J13" i="5" s="1"/>
  <c r="I17" i="5"/>
  <c r="J17" i="5" s="1"/>
  <c r="I21" i="5"/>
  <c r="J21" i="5" s="1"/>
  <c r="I25" i="5"/>
  <c r="J25" i="5" s="1"/>
  <c r="I29" i="5"/>
  <c r="J29" i="5" s="1"/>
  <c r="I37" i="5"/>
  <c r="J37" i="5" s="1"/>
  <c r="I41" i="5"/>
  <c r="J41" i="5" s="1"/>
  <c r="I45" i="5"/>
  <c r="J45" i="5" s="1"/>
  <c r="I49" i="5"/>
  <c r="J49" i="5" s="1"/>
  <c r="I53" i="5"/>
  <c r="J53" i="5" s="1"/>
  <c r="I57" i="5"/>
  <c r="J57" i="5" s="1"/>
  <c r="I61" i="5"/>
  <c r="J61" i="5" s="1"/>
  <c r="I65" i="5"/>
  <c r="J65" i="5" s="1"/>
  <c r="I69" i="5"/>
  <c r="J69" i="5" s="1"/>
  <c r="I73" i="5"/>
  <c r="J73" i="5" s="1"/>
  <c r="I77" i="5"/>
  <c r="J77" i="5" s="1"/>
  <c r="I93" i="5"/>
  <c r="J93" i="5" s="1"/>
  <c r="I97" i="5"/>
  <c r="J97" i="5" s="1"/>
  <c r="I101" i="5"/>
  <c r="J101" i="5" s="1"/>
  <c r="I105" i="5"/>
  <c r="J105" i="5" s="1"/>
  <c r="I111" i="5"/>
  <c r="J111" i="5" s="1"/>
  <c r="I115" i="5"/>
  <c r="J115" i="5" s="1"/>
  <c r="I119" i="5"/>
  <c r="J119" i="5" s="1"/>
  <c r="I123" i="5"/>
  <c r="J123" i="5" s="1"/>
  <c r="I127" i="5"/>
  <c r="J127" i="5" s="1"/>
  <c r="I131" i="5"/>
  <c r="J131" i="5" s="1"/>
  <c r="I135" i="5"/>
  <c r="J135" i="5" s="1"/>
  <c r="I139" i="5"/>
  <c r="J139" i="5" s="1"/>
  <c r="I143" i="5"/>
  <c r="J143" i="5" s="1"/>
  <c r="I147" i="5"/>
  <c r="J147" i="5" s="1"/>
  <c r="I106" i="5"/>
  <c r="J106" i="5" s="1"/>
  <c r="I148" i="5"/>
  <c r="J148" i="5" s="1"/>
  <c r="I112" i="5"/>
  <c r="J112" i="5" s="1"/>
  <c r="I116" i="5"/>
  <c r="J116" i="5" s="1"/>
  <c r="I120" i="5"/>
  <c r="J120" i="5" s="1"/>
  <c r="I124" i="5"/>
  <c r="J124" i="5" s="1"/>
  <c r="I128" i="5"/>
  <c r="J128" i="5" s="1"/>
  <c r="I132" i="5"/>
  <c r="J132" i="5" s="1"/>
  <c r="I136" i="5"/>
  <c r="J136" i="5" s="1"/>
  <c r="I140" i="5"/>
  <c r="J140" i="5" s="1"/>
  <c r="I144" i="5"/>
  <c r="J144" i="5" s="1"/>
  <c r="I86" i="5"/>
  <c r="J86" i="5" s="1"/>
  <c r="I85" i="5"/>
  <c r="J85" i="5" s="1"/>
  <c r="I84" i="5"/>
  <c r="J84" i="5" s="1"/>
  <c r="I146" i="5"/>
  <c r="J146" i="5" s="1"/>
  <c r="I141" i="5"/>
  <c r="J141" i="5" s="1"/>
  <c r="I142" i="5"/>
  <c r="J142" i="5" s="1"/>
  <c r="I82" i="5"/>
  <c r="J82" i="5" s="1"/>
  <c r="I145" i="5"/>
  <c r="J145" i="5" s="1"/>
  <c r="I2" i="5"/>
  <c r="J2" i="5" s="1"/>
  <c r="R5" i="5" l="1"/>
  <c r="O5" i="5"/>
  <c r="Q5" i="5"/>
  <c r="P5" i="5"/>
  <c r="R20" i="5" l="1"/>
  <c r="C37" i="6"/>
  <c r="F65" i="7" l="1"/>
  <c r="E65" i="7"/>
  <c r="D63" i="7"/>
  <c r="D65" i="7"/>
  <c r="E38" i="6"/>
  <c r="E47" i="6"/>
  <c r="C47" i="6"/>
  <c r="F47" i="6"/>
  <c r="D47" i="6"/>
  <c r="E37" i="6"/>
  <c r="D38" i="6"/>
  <c r="D37" i="6"/>
  <c r="F38" i="6"/>
  <c r="F37" i="6"/>
  <c r="C38" i="6"/>
  <c r="H37" i="6" l="1"/>
  <c r="G47" i="6"/>
  <c r="H47" i="6" l="1"/>
  <c r="G38" i="6"/>
  <c r="G37" i="6"/>
  <c r="H38" i="6"/>
  <c r="F63" i="7"/>
  <c r="J38" i="6" l="1"/>
  <c r="I38" i="6"/>
  <c r="I37" i="6"/>
  <c r="R33" i="5" l="1"/>
  <c r="R37" i="5" s="1"/>
  <c r="P33" i="5"/>
  <c r="J47" i="6"/>
  <c r="I47" i="6"/>
  <c r="J37" i="6"/>
  <c r="Q23" i="5" l="1"/>
  <c r="P23" i="5"/>
  <c r="O23" i="5"/>
  <c r="N23" i="5"/>
  <c r="J41" i="6" l="1"/>
  <c r="I41" i="6"/>
  <c r="H41" i="6"/>
  <c r="G41" i="6"/>
  <c r="D43" i="6"/>
  <c r="E43" i="6"/>
  <c r="D41" i="6"/>
  <c r="E41" i="6"/>
  <c r="F41" i="6"/>
  <c r="F71" i="7" l="1"/>
  <c r="M10" i="5" l="1"/>
  <c r="E52" i="8" l="1"/>
  <c r="D52" i="8"/>
  <c r="C52" i="8"/>
  <c r="E40" i="8"/>
  <c r="E72" i="8" s="1"/>
  <c r="E73" i="8" s="1"/>
  <c r="C40" i="8"/>
  <c r="C72" i="8" s="1"/>
  <c r="C73" i="8" s="1"/>
  <c r="D40" i="8"/>
  <c r="D72" i="8" s="1"/>
  <c r="D73" i="8" s="1"/>
  <c r="G72" i="8" l="1"/>
  <c r="J43" i="6"/>
  <c r="I43" i="6"/>
  <c r="H43" i="6"/>
  <c r="G73" i="8" l="1"/>
  <c r="I40" i="8"/>
  <c r="H40" i="8"/>
  <c r="J71" i="7"/>
  <c r="G71" i="7"/>
  <c r="E71" i="7"/>
  <c r="H71" i="7"/>
  <c r="M14" i="5"/>
  <c r="M16" i="5" s="1"/>
  <c r="F67" i="8"/>
  <c r="E67" i="8"/>
  <c r="D67" i="8"/>
  <c r="C67" i="8"/>
  <c r="C69" i="8" s="1"/>
  <c r="D68" i="8" s="1"/>
  <c r="D71" i="7"/>
  <c r="I71" i="7"/>
  <c r="E63" i="7"/>
  <c r="H72" i="8" l="1"/>
  <c r="I60" i="8"/>
  <c r="I72" i="8"/>
  <c r="P36" i="5" s="1"/>
  <c r="J60" i="8"/>
  <c r="H73" i="8"/>
  <c r="D69" i="8"/>
  <c r="E68" i="8" s="1"/>
  <c r="E69" i="8" s="1"/>
  <c r="F68" i="8" s="1"/>
  <c r="F69" i="8" s="1"/>
  <c r="G68" i="8" s="1"/>
  <c r="J40" i="8"/>
  <c r="G63" i="7"/>
  <c r="H63" i="7"/>
  <c r="N20" i="5"/>
  <c r="I73" i="8" l="1"/>
  <c r="J72" i="8"/>
  <c r="R36" i="5" s="1"/>
  <c r="R39" i="5" s="1"/>
  <c r="K60" i="8"/>
  <c r="I64" i="8"/>
  <c r="P15" i="5"/>
  <c r="J73" i="8"/>
  <c r="H55" i="7"/>
  <c r="H64" i="8"/>
  <c r="P37" i="5"/>
  <c r="G67" i="8"/>
  <c r="G69" i="8" s="1"/>
  <c r="I63" i="7"/>
  <c r="O20" i="5"/>
  <c r="Q20" i="5"/>
  <c r="P20" i="5"/>
  <c r="K64" i="8" l="1"/>
  <c r="K67" i="8" s="1"/>
  <c r="R15" i="5"/>
  <c r="P35" i="5"/>
  <c r="P40" i="5" s="1"/>
  <c r="J64" i="8"/>
  <c r="J67" i="8" s="1"/>
  <c r="Q15" i="5"/>
  <c r="I55" i="7"/>
  <c r="H57" i="7"/>
  <c r="H68" i="8"/>
  <c r="I67" i="8"/>
  <c r="H67" i="8"/>
  <c r="P39" i="5"/>
  <c r="J63" i="7"/>
  <c r="R35" i="5" l="1"/>
  <c r="R40" i="5" s="1"/>
  <c r="G64" i="7"/>
  <c r="N7" i="5"/>
  <c r="N10" i="5" s="1"/>
  <c r="N14" i="5" s="1"/>
  <c r="N16" i="5" s="1"/>
  <c r="H69" i="8"/>
  <c r="H4" i="7" s="1"/>
  <c r="J55" i="7"/>
  <c r="I57" i="7"/>
  <c r="G15" i="7"/>
  <c r="G30" i="7" s="1"/>
  <c r="G58" i="7" s="1"/>
  <c r="J57" i="7" l="1"/>
  <c r="K55" i="7"/>
  <c r="K57" i="7" s="1"/>
  <c r="I68" i="8"/>
  <c r="I69" i="8" s="1"/>
  <c r="I4" i="7" s="1"/>
  <c r="O7" i="5"/>
  <c r="H64" i="7"/>
  <c r="H15" i="7"/>
  <c r="H30" i="7" s="1"/>
  <c r="H58" i="7" s="1"/>
  <c r="G65" i="7"/>
  <c r="J68" i="8" l="1"/>
  <c r="J69" i="8" s="1"/>
  <c r="P7" i="5"/>
  <c r="P32" i="5" s="1"/>
  <c r="I64" i="7"/>
  <c r="I15" i="7"/>
  <c r="I30" i="7" s="1"/>
  <c r="I58" i="7" s="1"/>
  <c r="O10" i="5"/>
  <c r="O14" i="5" s="1"/>
  <c r="O16" i="5" s="1"/>
  <c r="H65" i="7"/>
  <c r="J4" i="7" l="1"/>
  <c r="J64" i="7" s="1"/>
  <c r="K68" i="8"/>
  <c r="K69" i="8" s="1"/>
  <c r="K4" i="7" s="1"/>
  <c r="I65" i="7"/>
  <c r="P38" i="5"/>
  <c r="G43" i="6"/>
  <c r="F43" i="6"/>
  <c r="Q7" i="5" l="1"/>
  <c r="Q10" i="5" s="1"/>
  <c r="Q14" i="5" s="1"/>
  <c r="Q16" i="5" s="1"/>
  <c r="J15" i="7"/>
  <c r="J30" i="7" s="1"/>
  <c r="J58" i="7" s="1"/>
  <c r="K15" i="7"/>
  <c r="K30" i="7" s="1"/>
  <c r="K58" i="7" s="1"/>
  <c r="K64" i="7"/>
  <c r="K65" i="7" s="1"/>
  <c r="R7" i="5"/>
  <c r="J65" i="7"/>
  <c r="P10" i="5"/>
  <c r="P14" i="5" s="1"/>
  <c r="P16" i="5" s="1"/>
  <c r="R32" i="5" l="1"/>
  <c r="R38" i="5" s="1"/>
  <c r="R10" i="5"/>
  <c r="R14" i="5" s="1"/>
  <c r="R16" i="5" s="1"/>
</calcChain>
</file>

<file path=xl/comments1.xml><?xml version="1.0" encoding="utf-8"?>
<comments xmlns="http://schemas.openxmlformats.org/spreadsheetml/2006/main">
  <authors>
    <author>Full name</author>
  </authors>
  <commentList>
    <comment ref="R30" authorId="0">
      <text>
        <r>
          <rPr>
            <b/>
            <sz val="9"/>
            <color indexed="81"/>
            <rFont val="Tahoma"/>
            <family val="2"/>
          </rPr>
          <t xml:space="preserve">Next Twelve Months
</t>
        </r>
      </text>
    </comment>
    <comment ref="L55" authorId="0">
      <text>
        <r>
          <rPr>
            <b/>
            <sz val="9"/>
            <color indexed="81"/>
            <rFont val="Tahoma"/>
            <family val="2"/>
          </rPr>
          <t>If it´s Tsuneishi Cebu</t>
        </r>
      </text>
    </comment>
    <comment ref="L56" authorId="0">
      <text>
        <r>
          <rPr>
            <b/>
            <sz val="9"/>
            <color indexed="81"/>
            <rFont val="Tahoma"/>
            <family val="2"/>
          </rPr>
          <t xml:space="preserve">If it´s Hyundai-Vinashin
</t>
        </r>
      </text>
    </comment>
  </commentList>
</comments>
</file>

<file path=xl/sharedStrings.xml><?xml version="1.0" encoding="utf-8"?>
<sst xmlns="http://schemas.openxmlformats.org/spreadsheetml/2006/main" count="1549" uniqueCount="470">
  <si>
    <t>Copyright:</t>
  </si>
  <si>
    <t>DISCLAIMER</t>
  </si>
  <si>
    <t>The financial models and projections provided herein are based on internal assumptions, historical data, and current market trends (such as charter rates, fuel costs, and vessel valuations) which are subject to high volatility and change without notice.</t>
  </si>
  <si>
    <t>These models are intended for illustrative and informational purposes only. They do not constitute financial, investment, or legal advice. While we strive for accuracy, we make no guarantees regarding the future performance of any asset or the realization of the projected returns.</t>
  </si>
  <si>
    <t xml:space="preserve">In green: </t>
  </si>
  <si>
    <t>Data copied from last quarter or reported by company</t>
  </si>
  <si>
    <t>In blue:</t>
  </si>
  <si>
    <t>Our own assumption</t>
  </si>
  <si>
    <t>In black:</t>
  </si>
  <si>
    <t>Automatically filled</t>
  </si>
  <si>
    <t>In yellow</t>
  </si>
  <si>
    <t>Yellow cells can be changed to make assumptions</t>
  </si>
  <si>
    <t>NAV Tab Content</t>
  </si>
  <si>
    <t>Fleet list:</t>
  </si>
  <si>
    <t>Price to update:</t>
  </si>
  <si>
    <t>NAV calculation:</t>
  </si>
  <si>
    <t>Net Asset Value calculation</t>
  </si>
  <si>
    <t xml:space="preserve">Adjusted fleet value: </t>
  </si>
  <si>
    <t>Value growth in %:</t>
  </si>
  <si>
    <t>Scrubbers:</t>
  </si>
  <si>
    <t>How many scrubbers are installed in the vessels, reported by the company.</t>
  </si>
  <si>
    <t>Fleet :</t>
  </si>
  <si>
    <t>How many vessels has the company</t>
  </si>
  <si>
    <t>% Fleet with scrubber:</t>
  </si>
  <si>
    <t>As it titles says, % fleet with scrubber</t>
  </si>
  <si>
    <t>TCE:</t>
  </si>
  <si>
    <t>Time Charter Equivalent, based in data reported by the company or own assumptions</t>
  </si>
  <si>
    <t>Financial data:</t>
  </si>
  <si>
    <t>Market Cap, Enterprise Value, Adjusted Earnings, Adjusted EBITDA, Levered FCF, Adjusted P/E, Adjusted EV/EBITDA and P/FCF</t>
  </si>
  <si>
    <t>Linear Estimation:</t>
  </si>
  <si>
    <t>Don´t remove or change this data. It´s to automatically calculate vessels value from the Master</t>
  </si>
  <si>
    <t>Fleet colours by status:</t>
  </si>
  <si>
    <t>No color:</t>
  </si>
  <si>
    <t>In the fleet list</t>
  </si>
  <si>
    <t>Pink:</t>
  </si>
  <si>
    <t>Sold vessel reported by the company</t>
  </si>
  <si>
    <t>Orange:</t>
  </si>
  <si>
    <t>P&amp;L Tab Content</t>
  </si>
  <si>
    <t>P&amp;L from company reports</t>
  </si>
  <si>
    <t>Operating days:</t>
  </si>
  <si>
    <t>You can change it on your own</t>
  </si>
  <si>
    <t>TCE revenue per vessel:</t>
  </si>
  <si>
    <t>Operating days x TCE assumption</t>
  </si>
  <si>
    <t xml:space="preserve">BALANCE Tab Content </t>
  </si>
  <si>
    <t>Balance from company reports</t>
  </si>
  <si>
    <t>Debt:</t>
  </si>
  <si>
    <t xml:space="preserve">Working Capital: </t>
  </si>
  <si>
    <t>Working Capital calculation</t>
  </si>
  <si>
    <t xml:space="preserve">CapEx: </t>
  </si>
  <si>
    <t>CapEx Assumption that you can change on your own</t>
  </si>
  <si>
    <t>We keep forward "Working Capital" like last quarter</t>
  </si>
  <si>
    <t>CASH FLOW Tab Content</t>
  </si>
  <si>
    <t>Cash Flow from company reports</t>
  </si>
  <si>
    <t>Levered and Unlevered FCF calculation</t>
  </si>
  <si>
    <t>Vessel</t>
  </si>
  <si>
    <t>Type</t>
  </si>
  <si>
    <t>Yard</t>
  </si>
  <si>
    <t>Country</t>
  </si>
  <si>
    <t>Ownership</t>
  </si>
  <si>
    <t>Built</t>
  </si>
  <si>
    <t>Premium</t>
  </si>
  <si>
    <t>Price:</t>
  </si>
  <si>
    <t>Japan</t>
  </si>
  <si>
    <t>Net Asset Value</t>
  </si>
  <si>
    <t>Q1 2026</t>
  </si>
  <si>
    <t>Q2 2026</t>
  </si>
  <si>
    <t>Q3 2026</t>
  </si>
  <si>
    <t>Q4 2026</t>
  </si>
  <si>
    <t>Q1 2027</t>
  </si>
  <si>
    <t>Fleet Value</t>
  </si>
  <si>
    <t>Financial Debt</t>
  </si>
  <si>
    <t>Cash</t>
  </si>
  <si>
    <t>Working Capital</t>
  </si>
  <si>
    <t>Scrubbers</t>
  </si>
  <si>
    <t>Net Assets</t>
  </si>
  <si>
    <t>Shares Outstanding</t>
  </si>
  <si>
    <t>Net Asset Value $/sh</t>
  </si>
  <si>
    <t>Más DIVI</t>
  </si>
  <si>
    <t>P / NAV</t>
  </si>
  <si>
    <t>Asjusted Fleet Value</t>
  </si>
  <si>
    <t>Value Growth in %</t>
  </si>
  <si>
    <t>Scrubber</t>
  </si>
  <si>
    <t>Fleet</t>
  </si>
  <si>
    <t>Sold</t>
  </si>
  <si>
    <t>% Fleet with scrubber</t>
  </si>
  <si>
    <t>Premium by Country:</t>
  </si>
  <si>
    <t>% Spot</t>
  </si>
  <si>
    <t>Korea</t>
  </si>
  <si>
    <t>*in millions USD, except multiples</t>
  </si>
  <si>
    <t>FY 2026</t>
  </si>
  <si>
    <t>NTM</t>
  </si>
  <si>
    <t>Phillippines</t>
  </si>
  <si>
    <t>Market Value</t>
  </si>
  <si>
    <t>Neutral</t>
  </si>
  <si>
    <t>EV</t>
  </si>
  <si>
    <t>Diluted Adj. EPS</t>
  </si>
  <si>
    <t>Adj. EBITDA</t>
  </si>
  <si>
    <t>Dividend</t>
  </si>
  <si>
    <t>Levered FCF</t>
  </si>
  <si>
    <t>Adjusted P/E</t>
  </si>
  <si>
    <t>EV/Adj. EBITDA</t>
  </si>
  <si>
    <t>P/FCF</t>
  </si>
  <si>
    <t>Dividend Yield</t>
  </si>
  <si>
    <t>Adjusted EBITDA</t>
  </si>
  <si>
    <t>Basic earnings/(loss) per share</t>
  </si>
  <si>
    <t>Diluted earnings/(loss) per share</t>
  </si>
  <si>
    <t>Weighted average number of shares (basic)</t>
  </si>
  <si>
    <t>Weighted average number of shares (diluted)</t>
  </si>
  <si>
    <t>Adjusted Profit after tax</t>
  </si>
  <si>
    <t>x</t>
  </si>
  <si>
    <t>Operating Days</t>
  </si>
  <si>
    <t>TCE revenue per vessel</t>
  </si>
  <si>
    <t>Check</t>
  </si>
  <si>
    <t>Debt</t>
  </si>
  <si>
    <t>Growth rate YoY %</t>
  </si>
  <si>
    <t>Net Financial Debt</t>
  </si>
  <si>
    <t>Growth rate YoY%</t>
  </si>
  <si>
    <t>Growth WC %</t>
  </si>
  <si>
    <t>CapEx</t>
  </si>
  <si>
    <t>CASH FLOW FROM OPERATING ACTIVITIES</t>
  </si>
  <si>
    <t>Net Cash provided by operating activities</t>
  </si>
  <si>
    <t>CASH FLOWS FROM INVESTING ACTIVITIES</t>
  </si>
  <si>
    <t>Investing Cash Flow</t>
  </si>
  <si>
    <t>CASH FLOWS FROM FINANCING ACTIVITES</t>
  </si>
  <si>
    <t>Financing Cash Flow</t>
  </si>
  <si>
    <t>Cash BoP</t>
  </si>
  <si>
    <t>Cash EoP</t>
  </si>
  <si>
    <t>UnLevered FCF</t>
  </si>
  <si>
    <t>TOTAL LIABILITIES AND EQUITY</t>
  </si>
  <si>
    <t>Net Increase / (Decrease) in Cash</t>
  </si>
  <si>
    <t>Total non-current assets</t>
  </si>
  <si>
    <t>Total non-current liabilities</t>
  </si>
  <si>
    <t>Samsung (Ningbo)</t>
  </si>
  <si>
    <t>Inventories</t>
  </si>
  <si>
    <t>Total current assets</t>
  </si>
  <si>
    <t>Total current liabilities</t>
  </si>
  <si>
    <t>Net profit / (Loss)</t>
  </si>
  <si>
    <t>Newbuilding or acquired</t>
  </si>
  <si>
    <t>Vietnam</t>
  </si>
  <si>
    <t>Voyage expenses</t>
  </si>
  <si>
    <t>G&amp;A expenses</t>
  </si>
  <si>
    <t>Total other expenses, net</t>
  </si>
  <si>
    <t>Accounts payable</t>
  </si>
  <si>
    <t>Net income/(loss)</t>
  </si>
  <si>
    <t>Dividends paid</t>
  </si>
  <si>
    <t>TOTAL SHAREHOLDERS´ EQUITY</t>
  </si>
  <si>
    <t>Star Bulk Carriers Corp.</t>
  </si>
  <si>
    <t>SBLK</t>
  </si>
  <si>
    <t>Star Bulk (in thousands of US Dollars)</t>
  </si>
  <si>
    <t>Goliath</t>
  </si>
  <si>
    <t>Newcastlemax</t>
  </si>
  <si>
    <t>Gargantua</t>
  </si>
  <si>
    <t>Star Gina 2GR</t>
  </si>
  <si>
    <t>Maharaj</t>
  </si>
  <si>
    <t>Leviathan</t>
  </si>
  <si>
    <t>Capesize</t>
  </si>
  <si>
    <t>Peloreus</t>
  </si>
  <si>
    <t>Kymopolia</t>
  </si>
  <si>
    <t>Shibumi</t>
  </si>
  <si>
    <t>PostPanamax</t>
  </si>
  <si>
    <t>Madredeus</t>
  </si>
  <si>
    <t>Amami</t>
  </si>
  <si>
    <t>Kamsarmax</t>
  </si>
  <si>
    <t>Pendulum</t>
  </si>
  <si>
    <t>Stardust</t>
  </si>
  <si>
    <t>Star Earendel</t>
  </si>
  <si>
    <t>Star Illusion</t>
  </si>
  <si>
    <t>Star Voyager</t>
  </si>
  <si>
    <t>Star Explorer</t>
  </si>
  <si>
    <t>Ultramax</t>
  </si>
  <si>
    <t>Roberta</t>
  </si>
  <si>
    <t>Laura</t>
  </si>
  <si>
    <t>Kaley</t>
  </si>
  <si>
    <t>Kennadi</t>
  </si>
  <si>
    <t>Mackenzie</t>
  </si>
  <si>
    <t>Wolverine</t>
  </si>
  <si>
    <t>Star Thetis</t>
  </si>
  <si>
    <t>Stargazer</t>
  </si>
  <si>
    <t>Supramax</t>
  </si>
  <si>
    <t>Crane</t>
  </si>
  <si>
    <t>Egret Bulker</t>
  </si>
  <si>
    <t>Gannet Bulker</t>
  </si>
  <si>
    <t>Grebe Bulker</t>
  </si>
  <si>
    <t>Ibis Bulker</t>
  </si>
  <si>
    <t>Jay</t>
  </si>
  <si>
    <t>Kingfisher</t>
  </si>
  <si>
    <t>Martin</t>
  </si>
  <si>
    <t>NACKS</t>
  </si>
  <si>
    <t>China</t>
  </si>
  <si>
    <t>SWS</t>
  </si>
  <si>
    <t>Star Leo</t>
  </si>
  <si>
    <t>Star Laetitia</t>
  </si>
  <si>
    <t>Star Ariadne</t>
  </si>
  <si>
    <t>Star Virgo</t>
  </si>
  <si>
    <t>Star Libra</t>
  </si>
  <si>
    <t>Star Sienna</t>
  </si>
  <si>
    <t>Star Marisa</t>
  </si>
  <si>
    <t>Star Karlie</t>
  </si>
  <si>
    <t>Star Eleni</t>
  </si>
  <si>
    <t>Star Magnanimus</t>
  </si>
  <si>
    <t>Debbie H</t>
  </si>
  <si>
    <t>Star Ayesha</t>
  </si>
  <si>
    <t>Katie K</t>
  </si>
  <si>
    <t>JMU</t>
  </si>
  <si>
    <t>Star Claudine</t>
  </si>
  <si>
    <t>Star Ophelia</t>
  </si>
  <si>
    <t>Star Martha</t>
  </si>
  <si>
    <t>Star Pauline</t>
  </si>
  <si>
    <t>Star Lyra</t>
  </si>
  <si>
    <t>Star Bueno</t>
  </si>
  <si>
    <t>Star Marilena</t>
  </si>
  <si>
    <t>STX</t>
  </si>
  <si>
    <t>S. Korea</t>
  </si>
  <si>
    <t>Imabari</t>
  </si>
  <si>
    <t>HHI</t>
  </si>
  <si>
    <t>Star Janni</t>
  </si>
  <si>
    <t>Star Borneo</t>
  </si>
  <si>
    <t>Hyundai Samho</t>
  </si>
  <si>
    <t>Star Marianne</t>
  </si>
  <si>
    <t>Star Angie</t>
  </si>
  <si>
    <t>Namura</t>
  </si>
  <si>
    <t>Star Eva</t>
  </si>
  <si>
    <t>Star Vega</t>
  </si>
  <si>
    <t>Star Sirius</t>
  </si>
  <si>
    <t>Tsuneishi Zhousan</t>
  </si>
  <si>
    <t>Star Aphrodite</t>
  </si>
  <si>
    <t>Star Piera</t>
  </si>
  <si>
    <t>Star Despoina</t>
  </si>
  <si>
    <t>Star Electra</t>
  </si>
  <si>
    <t>Star Angelina</t>
  </si>
  <si>
    <t>Star Gwyneth</t>
  </si>
  <si>
    <t>Sungdong</t>
  </si>
  <si>
    <t>Sanoyas</t>
  </si>
  <si>
    <t>Tsuneishi</t>
  </si>
  <si>
    <t>Star Kamila</t>
  </si>
  <si>
    <t>Star Luna</t>
  </si>
  <si>
    <t>Star Bianca</t>
  </si>
  <si>
    <t>Star Maria</t>
  </si>
  <si>
    <t>Star Markella</t>
  </si>
  <si>
    <t>Star Jeannette</t>
  </si>
  <si>
    <t>Star Elizabeth</t>
  </si>
  <si>
    <t>Star Sophia</t>
  </si>
  <si>
    <t>Jiangsu Yangzi</t>
  </si>
  <si>
    <t>Star Moira</t>
  </si>
  <si>
    <t>Star Nina</t>
  </si>
  <si>
    <t>Star Renee</t>
  </si>
  <si>
    <t>Star Nasia</t>
  </si>
  <si>
    <t>Star Laura</t>
  </si>
  <si>
    <t>Star Mona</t>
  </si>
  <si>
    <t>Star Helena</t>
  </si>
  <si>
    <t>Star Astrid</t>
  </si>
  <si>
    <t>Star Evalina</t>
  </si>
  <si>
    <t>Qingdao</t>
  </si>
  <si>
    <t>YZJ</t>
  </si>
  <si>
    <t>CSSC Guangzhou</t>
  </si>
  <si>
    <t>Star Alessia</t>
  </si>
  <si>
    <t>Star Calypso</t>
  </si>
  <si>
    <t>Star Suzanna</t>
  </si>
  <si>
    <t>Star Charis</t>
  </si>
  <si>
    <t>Mercurial Virgo</t>
  </si>
  <si>
    <t>Star Sky</t>
  </si>
  <si>
    <t>Star Lambada</t>
  </si>
  <si>
    <t>Star Carioca</t>
  </si>
  <si>
    <t>Star Capoeira</t>
  </si>
  <si>
    <t>Star Macarena</t>
  </si>
  <si>
    <t>Universal</t>
  </si>
  <si>
    <t>Hudong</t>
  </si>
  <si>
    <t>Star Lydia</t>
  </si>
  <si>
    <t>Star Nicole</t>
  </si>
  <si>
    <t>Star Virginia</t>
  </si>
  <si>
    <t>Star Genesis</t>
  </si>
  <si>
    <t>Star Flame</t>
  </si>
  <si>
    <t>Star Cape Town</t>
  </si>
  <si>
    <t>Cosco Zhoushan</t>
  </si>
  <si>
    <t>Star Vancouver</t>
  </si>
  <si>
    <t>Star Oslo</t>
  </si>
  <si>
    <t>Chengxi Shipyard</t>
  </si>
  <si>
    <t>Star Rotterdam</t>
  </si>
  <si>
    <t>Star Halifax</t>
  </si>
  <si>
    <t>Cosco Yangzhou</t>
  </si>
  <si>
    <t>Star Helsinki</t>
  </si>
  <si>
    <t>Star Gibraltar</t>
  </si>
  <si>
    <t>Star Valencia</t>
  </si>
  <si>
    <t>Jiangsu New Hantong</t>
  </si>
  <si>
    <t>Star Dublin</t>
  </si>
  <si>
    <t>Star Santos</t>
  </si>
  <si>
    <t>Star Antwerp</t>
  </si>
  <si>
    <t>Star Sydney</t>
  </si>
  <si>
    <t>Star Copenhagen</t>
  </si>
  <si>
    <t>Star Hong Kong</t>
  </si>
  <si>
    <t>Idee Fixe</t>
  </si>
  <si>
    <t>Star Shanghai</t>
  </si>
  <si>
    <t>Jiangsu New Yangzijiang</t>
  </si>
  <si>
    <t>Star Singapore</t>
  </si>
  <si>
    <t>Star Westport</t>
  </si>
  <si>
    <t>Sinopacific Zheijiang</t>
  </si>
  <si>
    <t>Star Hamburg</t>
  </si>
  <si>
    <t>Star Madison</t>
  </si>
  <si>
    <t>Sinopacific Dayang</t>
  </si>
  <si>
    <t>Star Greenwich</t>
  </si>
  <si>
    <t>Star Groton</t>
  </si>
  <si>
    <t>Star Fairfield</t>
  </si>
  <si>
    <t>Star Southport</t>
  </si>
  <si>
    <t>Star Rowayton</t>
  </si>
  <si>
    <t>Star Mystic</t>
  </si>
  <si>
    <t>Star Stockholm</t>
  </si>
  <si>
    <t>Star New London</t>
  </si>
  <si>
    <t>Star Apus</t>
  </si>
  <si>
    <t>Jiangsu Hantong</t>
  </si>
  <si>
    <t>Cosco Dalian</t>
  </si>
  <si>
    <t>Star Subaru</t>
  </si>
  <si>
    <t>Star Wave</t>
  </si>
  <si>
    <t>Star Stamford</t>
  </si>
  <si>
    <t>Nantong Cosco KHI</t>
  </si>
  <si>
    <t>Star Challenger</t>
  </si>
  <si>
    <t>Star Fighter</t>
  </si>
  <si>
    <t>Star Lutas</t>
  </si>
  <si>
    <t>Star Antares</t>
  </si>
  <si>
    <t>Honey Badger</t>
  </si>
  <si>
    <t>Star Tokyo</t>
  </si>
  <si>
    <t>Tadotsu Imabari</t>
  </si>
  <si>
    <t>Star Monica</t>
  </si>
  <si>
    <t>Star Pisces</t>
  </si>
  <si>
    <t>Star Aquarius</t>
  </si>
  <si>
    <t>Star Cleo</t>
  </si>
  <si>
    <t>Star Pegasus</t>
  </si>
  <si>
    <t>Star Bright</t>
  </si>
  <si>
    <t>Hyundai Vinashin</t>
  </si>
  <si>
    <t>Tai Stride</t>
  </si>
  <si>
    <t>Oshima</t>
  </si>
  <si>
    <t>Tsuneishi Cebu</t>
  </si>
  <si>
    <t>Philippines</t>
  </si>
  <si>
    <t>HN 70</t>
  </si>
  <si>
    <t>HN 72</t>
  </si>
  <si>
    <t>HN17</t>
  </si>
  <si>
    <t>HN18</t>
  </si>
  <si>
    <t>HN23</t>
  </si>
  <si>
    <t>Hengli</t>
  </si>
  <si>
    <t>Post Panamax</t>
  </si>
  <si>
    <t>Chartered-in</t>
  </si>
  <si>
    <t>Revenues:</t>
  </si>
  <si>
    <t>Voyage revenues</t>
  </si>
  <si>
    <t>Total revenues</t>
  </si>
  <si>
    <t>Expenses/(Income):</t>
  </si>
  <si>
    <t>Charter-in hire expenses</t>
  </si>
  <si>
    <t>Vessel Operating expenses</t>
  </si>
  <si>
    <t>Dry docking expenses</t>
  </si>
  <si>
    <t>Depreciation</t>
  </si>
  <si>
    <t>Management fees</t>
  </si>
  <si>
    <t>Loss on write-down of inventory</t>
  </si>
  <si>
    <t>Impairment loss</t>
  </si>
  <si>
    <t>Other operational loss</t>
  </si>
  <si>
    <t>Other operational gain</t>
  </si>
  <si>
    <t>Loss on bad debt</t>
  </si>
  <si>
    <t>Gain/(loss) on sale of vessel</t>
  </si>
  <si>
    <t>Total operating expenses, net</t>
  </si>
  <si>
    <t>Operating income / (loss)</t>
  </si>
  <si>
    <t>Other Income/(Expenses)</t>
  </si>
  <si>
    <t>Interest and finance costs</t>
  </si>
  <si>
    <t>Interest income and other income/(loss)</t>
  </si>
  <si>
    <t>Gain/(loss) on interest rate swaps, net</t>
  </si>
  <si>
    <t>Gain/(loss) on debt extinguishment, net</t>
  </si>
  <si>
    <t>Income/(loss) before taxes</t>
  </si>
  <si>
    <t>Income taxes</t>
  </si>
  <si>
    <t>ASSETS</t>
  </si>
  <si>
    <t>CURRENT ASSETS</t>
  </si>
  <si>
    <t>Cash and cash equivalents</t>
  </si>
  <si>
    <t>Restricted cash, current</t>
  </si>
  <si>
    <t>Trade accounts receivable, net</t>
  </si>
  <si>
    <t>Due from managers</t>
  </si>
  <si>
    <t>Due from related parties</t>
  </si>
  <si>
    <t>Prepaid expenses and other receivables</t>
  </si>
  <si>
    <t>Derivatives, current asset portion</t>
  </si>
  <si>
    <t>Asset held for sale</t>
  </si>
  <si>
    <t>Other current assets</t>
  </si>
  <si>
    <t>FIXED ASSETS</t>
  </si>
  <si>
    <t>Vessels and other fixed assets, net</t>
  </si>
  <si>
    <t>Advances for vessels under construction</t>
  </si>
  <si>
    <t>Total Fixed assets</t>
  </si>
  <si>
    <t>NON-CURRENT ASSETS</t>
  </si>
  <si>
    <t>Long term investment</t>
  </si>
  <si>
    <t>Restricted cash, non-current</t>
  </si>
  <si>
    <t>Operating leases, RoU assets</t>
  </si>
  <si>
    <t>Derivatives, non-current asset portion</t>
  </si>
  <si>
    <t>Other non-current assets</t>
  </si>
  <si>
    <t>TOTAL ASSETS</t>
  </si>
  <si>
    <t>LIABILITIES AND SHAREHOLDERS´EQUITY</t>
  </si>
  <si>
    <t>CURRENT LIABILITIES</t>
  </si>
  <si>
    <t>Current portion of long-term bank loans</t>
  </si>
  <si>
    <t>Lease financing short term</t>
  </si>
  <si>
    <t>Due to managers</t>
  </si>
  <si>
    <t>Due to related parties</t>
  </si>
  <si>
    <t>Accrued liabilities</t>
  </si>
  <si>
    <t>Operating lease liabilities, current</t>
  </si>
  <si>
    <t>Deferred revenue</t>
  </si>
  <si>
    <t>Other current liabilities</t>
  </si>
  <si>
    <t>NON-CURRENT LIABILITIES</t>
  </si>
  <si>
    <t>Long-term bank loans</t>
  </si>
  <si>
    <t>Lease financing long term</t>
  </si>
  <si>
    <t>Operating lease liabilities, non-current</t>
  </si>
  <si>
    <t>Other non-current liabilities</t>
  </si>
  <si>
    <t>TOTAL LIABILITIES</t>
  </si>
  <si>
    <t>Adjustment:</t>
  </si>
  <si>
    <t>Gain on sale of vessels</t>
  </si>
  <si>
    <t>Share-based compensation</t>
  </si>
  <si>
    <t>Change in fair value of freight deriv. and bunker swaps</t>
  </si>
  <si>
    <t>Other non-cash charges</t>
  </si>
  <si>
    <t>Gain on hull and machinery claims</t>
  </si>
  <si>
    <t>Equity in income / (loss) of investee</t>
  </si>
  <si>
    <t>Changes in WC:</t>
  </si>
  <si>
    <t>(Increase)/Decrease in:</t>
  </si>
  <si>
    <t>Trade account receivable</t>
  </si>
  <si>
    <t>Derivatives asset</t>
  </si>
  <si>
    <t>Account payable</t>
  </si>
  <si>
    <t>Operating lease liability</t>
  </si>
  <si>
    <t>Investment in debt security</t>
  </si>
  <si>
    <t>Hull and machinary insurance proceeds</t>
  </si>
  <si>
    <t>Financing and debt extinguishment fees paid</t>
  </si>
  <si>
    <t>Proceeds from issuance of common stock</t>
  </si>
  <si>
    <t>Offering expenses paid related to the issuance of common stock</t>
  </si>
  <si>
    <t>Repurchase of common shares</t>
  </si>
  <si>
    <t>Equity in income/(loss) of investee</t>
  </si>
  <si>
    <t>Accrued income</t>
  </si>
  <si>
    <t>Derivative, current liability portion</t>
  </si>
  <si>
    <t>Amortization of debt (loan, leases) issuance costs</t>
  </si>
  <si>
    <t>Noncash lease expense</t>
  </si>
  <si>
    <t>Gain from insurance proceeds relating to vessel total loss</t>
  </si>
  <si>
    <t>Write-off accruals and current assets</t>
  </si>
  <si>
    <t>Increase/(decrease) in:</t>
  </si>
  <si>
    <t>Advances for vessels acquisitions, vessels under construction, vessel upgrades and other fixed assets</t>
  </si>
  <si>
    <t>Cash proceeds from vessel total loss</t>
  </si>
  <si>
    <t>Cash proceeds from vessel sales</t>
  </si>
  <si>
    <t>Cash proceeds from Eagle Merger</t>
  </si>
  <si>
    <t>-</t>
  </si>
  <si>
    <t>(Gain)/loss on FFAs &amp; bunker swaps</t>
  </si>
  <si>
    <t>Cash from sale of equity on investee</t>
  </si>
  <si>
    <t>Proceeds from new debt</t>
  </si>
  <si>
    <t>Scheduled debt repayment</t>
  </si>
  <si>
    <t>Debt prepayments due to refinancing and vessel sales</t>
  </si>
  <si>
    <t>TCE Newcastlemax / Capesize</t>
  </si>
  <si>
    <t>TCE Post Panamax / Kamsarmax / Panamax</t>
  </si>
  <si>
    <t>TCE Ultramax / Supramax</t>
  </si>
  <si>
    <t>Age</t>
  </si>
  <si>
    <t>Value</t>
  </si>
  <si>
    <t>Ourios Analytics</t>
  </si>
  <si>
    <t>ourios.com</t>
  </si>
  <si>
    <t>info@ourios.com</t>
  </si>
  <si>
    <t>COPYRIGHT</t>
  </si>
  <si>
    <t>This Excel model and its contents are the exclusive property of Ourios Analytics. No part of this file may be reproduced, distributed, transmitted, or shared in any form or by any means, without the prior written permission of Ourios Analytics.</t>
  </si>
  <si>
    <r>
      <t xml:space="preserve">Authorized use must strictly include a clear citation of the source: </t>
    </r>
    <r>
      <rPr>
        <b/>
        <sz val="11"/>
        <color theme="1"/>
        <rFont val="Calibri"/>
        <family val="2"/>
        <scheme val="minor"/>
      </rPr>
      <t>"Source: Ourios Analytics"</t>
    </r>
    <r>
      <rPr>
        <sz val="11"/>
        <color theme="1"/>
        <rFont val="Calibri"/>
        <family val="2"/>
        <scheme val="minor"/>
      </rPr>
      <t>.</t>
    </r>
  </si>
  <si>
    <t>COLORS USED IN FINANCIAL DATA</t>
  </si>
  <si>
    <t>Vessel name, type of vessel, year built, Yard, Country, scrubber, neutral value and corrected value by premium coefficient</t>
  </si>
  <si>
    <t>Share price, that it´s update from Valuations_Master</t>
  </si>
  <si>
    <t>Change this coefficient if you think the value is going up or down. Default we leave it in 1.</t>
  </si>
  <si>
    <t>Change in % between quarters</t>
  </si>
  <si>
    <t>Coefficient added by premium:</t>
  </si>
  <si>
    <t>Correction factor depending on the country of construction or others</t>
  </si>
  <si>
    <t>Newbuilding or acquired vessel reported by the company</t>
  </si>
  <si>
    <t>Blue:</t>
  </si>
  <si>
    <t>Chartered-in or Bareboat-in</t>
  </si>
  <si>
    <t>Remember: If you want to make assumptions, just change yellow cells</t>
  </si>
  <si>
    <t>Notes:</t>
  </si>
  <si>
    <t>Estimating revenues are from TCE and operating days. For that reason, voyage expenses use to be in grey background. We prepare the TCE revenues looking at what the company say about it.</t>
  </si>
  <si>
    <t>Debt - Cash and cash equivalents</t>
  </si>
  <si>
    <t>To calculate debt, we join current and long term debt. We take into account what the company says and when not, we subtract a quarter of the short-term debt, to make an estimation</t>
  </si>
  <si>
    <t>We calculate CapEx from company reports and, if not available, we make our own assumption. You can change it on your own</t>
  </si>
  <si>
    <t>Acquisition of other fixed assets</t>
  </si>
  <si>
    <t>Q2 2027</t>
  </si>
  <si>
    <t>Star Emma</t>
  </si>
  <si>
    <t>Star Ellie</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</si>
</sst>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164" formatCode="_-* #,##0.00_-;\-* #,##0.00_-;_-* &quot;-&quot;??_-;_-@_-"/>
    <numFmt numFmtId="165" formatCode="_ * #,##0.00_ ;_ * \-#,##0.00_ ;_ * &quot;-&quot;??_ ;_ @_ "/>
    <numFmt numFmtId="166" formatCode="_ &quot;kr.&quot;\ * #,##0.00_ ;_ &quot;kr.&quot;\ * \-#,##0.00_ ;_ &quot;kr.&quot;\ * &quot;-&quot;??_ ;_ @_ "/>
    <numFmt numFmtId="167" formatCode="#,##0.0_);\(#,##0.0\)"/>
    <numFmt numFmtId="168" formatCode="_-* #,##0.00\ _€_-;\-* #,##0.00\ _€_-;_-* &quot;-&quot;??\ _€_-;_-@_-"/>
    <numFmt numFmtId="169" formatCode="_-* #,##0.00\ &quot;€&quot;_-;\-* #,##0.00\ &quot;€&quot;_-;_-* &quot;-&quot;??\ &quot;€&quot;_-;_-@_-"/>
    <numFmt numFmtId="170" formatCode="0.00_);\(0.00\)"/>
    <numFmt numFmtId="171" formatCode="0.0"/>
    <numFmt numFmtId="172" formatCode="#,##0.00;\(#,##0.00\);&quot;-&quot;"/>
    <numFmt numFmtId="173" formatCode="0.000"/>
    <numFmt numFmtId="174" formatCode="0.0%"/>
    <numFmt numFmtId="175" formatCode="#,##0;\(#,##0\);&quot;-&quot;"/>
    <numFmt numFmtId="176" formatCode="0.00\x"/>
    <numFmt numFmtId="177" formatCode="#,##0.0;\(#,##0.0\);&quot;-&quot;"/>
    <numFmt numFmtId="178" formatCode="0.000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color theme="1"/>
      <name val="Arial"/>
      <family val="2"/>
    </font>
    <font>
      <sz val="11"/>
      <color rgb="FF00B050"/>
      <name val="Calibri"/>
      <family val="2"/>
      <scheme val="minor"/>
    </font>
    <font>
      <sz val="11"/>
      <color rgb="FF0000FF"/>
      <name val="Calibri"/>
      <family val="2"/>
      <scheme val="minor"/>
    </font>
    <font>
      <sz val="10"/>
      <color rgb="FF0000FF"/>
      <name val="Arial"/>
      <family val="2"/>
    </font>
    <font>
      <u/>
      <sz val="11"/>
      <color theme="1"/>
      <name val="Calibri"/>
      <family val="2"/>
      <scheme val="minor"/>
    </font>
    <font>
      <sz val="8"/>
      <name val="Arial"/>
      <family val="2"/>
    </font>
    <font>
      <sz val="9"/>
      <color theme="1"/>
      <name val="Arial"/>
      <family val="2"/>
      <charset val="204"/>
    </font>
    <font>
      <b/>
      <sz val="9"/>
      <color rgb="FF002060"/>
      <name val="Arial"/>
      <family val="2"/>
      <charset val="204"/>
    </font>
    <font>
      <sz val="12"/>
      <color theme="1"/>
      <name val="Calibri"/>
      <family val="2"/>
      <scheme val="minor"/>
    </font>
    <font>
      <sz val="11"/>
      <color theme="1"/>
      <name val="Calibri"/>
      <family val="2"/>
      <charset val="204"/>
      <scheme val="minor"/>
    </font>
    <font>
      <sz val="10"/>
      <name val="Tahoma"/>
      <family val="2"/>
    </font>
    <font>
      <b/>
      <sz val="11"/>
      <color rgb="FF00B050"/>
      <name val="Calibri"/>
      <family val="2"/>
      <scheme val="minor"/>
    </font>
    <font>
      <b/>
      <sz val="11"/>
      <color rgb="FF0000FF"/>
      <name val="Calibri"/>
      <family val="2"/>
      <scheme val="minor"/>
    </font>
    <font>
      <b/>
      <sz val="9"/>
      <color theme="1"/>
      <name val="Calibri"/>
      <family val="2"/>
      <scheme val="minor"/>
    </font>
    <font>
      <b/>
      <sz val="9"/>
      <color indexed="81"/>
      <name val="Tahoma"/>
      <family val="2"/>
    </font>
    <font>
      <i/>
      <sz val="9.5"/>
      <color theme="1"/>
      <name val="Calibri"/>
      <family val="2"/>
      <scheme val="minor"/>
    </font>
    <font>
      <sz val="11"/>
      <name val="Calibri"/>
      <family val="2"/>
      <scheme val="minor"/>
    </font>
    <font>
      <sz val="9.5"/>
      <color theme="1"/>
      <name val="Calibri"/>
      <family val="2"/>
      <scheme val="minor"/>
    </font>
    <font>
      <b/>
      <sz val="11"/>
      <name val="Calibri"/>
      <family val="2"/>
      <scheme val="minor"/>
    </font>
    <font>
      <b/>
      <sz val="10"/>
      <color theme="0"/>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rgb="FFFCFA9C"/>
        <bgColor indexed="64"/>
      </patternFill>
    </fill>
    <fill>
      <patternFill patternType="solid">
        <fgColor rgb="FFFFCCCC"/>
        <bgColor indexed="64"/>
      </patternFill>
    </fill>
    <fill>
      <patternFill patternType="solid">
        <fgColor rgb="FFFFFF99"/>
        <bgColor indexed="64"/>
      </patternFill>
    </fill>
    <fill>
      <patternFill patternType="solid">
        <fgColor theme="0"/>
        <bgColor indexed="64"/>
      </patternFill>
    </fill>
    <fill>
      <patternFill patternType="solid">
        <fgColor theme="1"/>
        <bgColor indexed="64"/>
      </patternFill>
    </fill>
    <fill>
      <patternFill patternType="solid">
        <fgColor theme="2" tint="-0.249977111117893"/>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66"/>
        <bgColor indexed="64"/>
      </patternFill>
    </fill>
    <fill>
      <patternFill patternType="solid">
        <fgColor theme="8" tint="0.59999389629810485"/>
        <bgColor indexed="64"/>
      </patternFill>
    </fill>
    <fill>
      <patternFill patternType="solid">
        <fgColor theme="0" tint="-4.9989318521683403E-2"/>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medium">
        <color rgb="FF002060"/>
      </bottom>
      <diagonal/>
    </border>
    <border>
      <left style="medium">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bottom style="thin">
        <color indexed="64"/>
      </bottom>
      <diagonal/>
    </border>
  </borders>
  <cellStyleXfs count="28">
    <xf numFmtId="0" fontId="0" fillId="0" borderId="0"/>
    <xf numFmtId="9" fontId="1" fillId="0" borderId="0" applyFont="0" applyFill="0" applyBorder="0" applyAlignment="0" applyProtection="0"/>
    <xf numFmtId="0" fontId="5"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1" fillId="0" borderId="0" applyFont="0" applyFill="0" applyBorder="0" applyAlignment="0" applyProtection="0"/>
    <xf numFmtId="166" fontId="1" fillId="0" borderId="0" applyFont="0" applyFill="0" applyBorder="0" applyAlignment="0" applyProtection="0"/>
    <xf numFmtId="167" fontId="12" fillId="6" borderId="0"/>
    <xf numFmtId="0" fontId="13" fillId="6" borderId="11">
      <alignment horizontal="right"/>
    </xf>
    <xf numFmtId="164" fontId="1" fillId="0" borderId="0" applyFont="0" applyFill="0" applyBorder="0" applyAlignment="0" applyProtection="0"/>
    <xf numFmtId="164" fontId="14" fillId="0" borderId="0" applyFont="0" applyFill="0" applyBorder="0" applyAlignment="0" applyProtection="0"/>
    <xf numFmtId="168" fontId="1" fillId="0" borderId="0" applyFont="0" applyFill="0" applyBorder="0" applyAlignment="0" applyProtection="0"/>
    <xf numFmtId="169" fontId="14" fillId="0" borderId="0" applyFont="0" applyFill="0" applyBorder="0" applyAlignment="0" applyProtection="0"/>
    <xf numFmtId="0" fontId="1" fillId="0" borderId="0"/>
    <xf numFmtId="0" fontId="15" fillId="0" borderId="0"/>
    <xf numFmtId="0" fontId="11" fillId="0" borderId="0"/>
    <xf numFmtId="4" fontId="16" fillId="0" borderId="0" applyFill="0" applyBorder="0" applyAlignment="0" applyProtection="0"/>
    <xf numFmtId="0" fontId="1" fillId="0" borderId="0"/>
    <xf numFmtId="0" fontId="1" fillId="0" borderId="0"/>
    <xf numFmtId="0" fontId="1" fillId="0" borderId="0"/>
    <xf numFmtId="9" fontId="1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cellStyleXfs>
  <cellXfs count="213">
    <xf numFmtId="0" fontId="0" fillId="0" borderId="0" xfId="0"/>
    <xf numFmtId="0" fontId="3" fillId="0" borderId="0" xfId="0" applyFont="1"/>
    <xf numFmtId="0" fontId="3" fillId="0" borderId="1" xfId="0" applyFont="1"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5" fillId="0" borderId="4" xfId="2" applyBorder="1"/>
    <xf numFmtId="0" fontId="0" fillId="0" borderId="6" xfId="0" applyBorder="1"/>
    <xf numFmtId="0" fontId="0" fillId="0" borderId="7" xfId="0" applyBorder="1"/>
    <xf numFmtId="0" fontId="0" fillId="0" borderId="8" xfId="0" applyBorder="1"/>
    <xf numFmtId="0" fontId="6" fillId="0" borderId="0" xfId="0" applyFont="1" applyAlignment="1">
      <alignment vertical="center"/>
    </xf>
    <xf numFmtId="0" fontId="7" fillId="0" borderId="0" xfId="0" applyFont="1"/>
    <xf numFmtId="0" fontId="8" fillId="0" borderId="0" xfId="0" applyFont="1"/>
    <xf numFmtId="0" fontId="9" fillId="0" borderId="0" xfId="0" applyFont="1" applyFill="1" applyAlignment="1">
      <alignment vertical="center"/>
    </xf>
    <xf numFmtId="0" fontId="0" fillId="0" borderId="0" xfId="0" applyFill="1"/>
    <xf numFmtId="0" fontId="3" fillId="2" borderId="9" xfId="2" applyFont="1" applyFill="1" applyBorder="1"/>
    <xf numFmtId="0" fontId="3" fillId="2" borderId="10" xfId="0" applyFont="1" applyFill="1" applyBorder="1"/>
    <xf numFmtId="0" fontId="0" fillId="0" borderId="0" xfId="0" applyFont="1" applyFill="1"/>
    <xf numFmtId="0" fontId="0" fillId="0" borderId="0" xfId="0" applyFont="1"/>
    <xf numFmtId="0" fontId="10" fillId="0" borderId="0" xfId="0" applyFont="1"/>
    <xf numFmtId="0" fontId="0" fillId="4" borderId="0" xfId="0" applyFill="1"/>
    <xf numFmtId="0" fontId="3" fillId="0" borderId="0" xfId="0" applyFont="1" applyBorder="1"/>
    <xf numFmtId="0" fontId="0" fillId="5" borderId="0" xfId="0" applyFont="1" applyFill="1"/>
    <xf numFmtId="0" fontId="8" fillId="5" borderId="0" xfId="0" applyFont="1" applyFill="1"/>
    <xf numFmtId="170" fontId="0" fillId="6" borderId="12" xfId="0" applyNumberFormat="1" applyFont="1" applyFill="1" applyBorder="1" applyAlignment="1">
      <alignment horizontal="center"/>
    </xf>
    <xf numFmtId="0" fontId="0" fillId="0" borderId="0" xfId="0" applyAlignment="1">
      <alignment horizontal="center"/>
    </xf>
    <xf numFmtId="2" fontId="3" fillId="0" borderId="13" xfId="0" applyNumberFormat="1" applyFont="1" applyFill="1" applyBorder="1" applyAlignment="1">
      <alignment horizontal="center"/>
    </xf>
    <xf numFmtId="0" fontId="0" fillId="0" borderId="14" xfId="0" applyBorder="1" applyAlignment="1">
      <alignment horizontal="center"/>
    </xf>
    <xf numFmtId="0" fontId="2" fillId="7" borderId="14" xfId="0" applyFont="1" applyFill="1" applyBorder="1" applyAlignment="1">
      <alignment horizontal="center"/>
    </xf>
    <xf numFmtId="0" fontId="2" fillId="8" borderId="14" xfId="0" applyFont="1" applyFill="1" applyBorder="1" applyAlignment="1">
      <alignment horizontal="center"/>
    </xf>
    <xf numFmtId="170" fontId="0" fillId="6" borderId="14" xfId="0" applyNumberFormat="1" applyFont="1" applyFill="1" applyBorder="1"/>
    <xf numFmtId="172" fontId="0" fillId="0" borderId="14" xfId="0" applyNumberFormat="1" applyBorder="1"/>
    <xf numFmtId="0" fontId="0" fillId="0" borderId="14" xfId="0" applyBorder="1"/>
    <xf numFmtId="170" fontId="0" fillId="6" borderId="14" xfId="0" quotePrefix="1" applyNumberFormat="1" applyFont="1" applyFill="1" applyBorder="1"/>
    <xf numFmtId="0" fontId="0" fillId="9" borderId="0" xfId="0" applyFill="1"/>
    <xf numFmtId="172" fontId="17" fillId="0" borderId="14" xfId="0" applyNumberFormat="1" applyFont="1" applyBorder="1"/>
    <xf numFmtId="170" fontId="2" fillId="7" borderId="14" xfId="0" applyNumberFormat="1" applyFont="1" applyFill="1" applyBorder="1" applyAlignment="1">
      <alignment horizontal="center"/>
    </xf>
    <xf numFmtId="170" fontId="2" fillId="7" borderId="14" xfId="0" applyNumberFormat="1" applyFont="1" applyFill="1" applyBorder="1"/>
    <xf numFmtId="170" fontId="3" fillId="0" borderId="1" xfId="0" applyNumberFormat="1" applyFont="1" applyFill="1" applyBorder="1"/>
    <xf numFmtId="173" fontId="3" fillId="0" borderId="2" xfId="0" applyNumberFormat="1" applyFont="1" applyFill="1" applyBorder="1" applyAlignment="1">
      <alignment horizontal="right"/>
    </xf>
    <xf numFmtId="173" fontId="18" fillId="3" borderId="2" xfId="0" applyNumberFormat="1" applyFont="1" applyFill="1" applyBorder="1" applyAlignment="1">
      <alignment horizontal="right"/>
    </xf>
    <xf numFmtId="173" fontId="18" fillId="3" borderId="3" xfId="0" applyNumberFormat="1" applyFont="1" applyFill="1" applyBorder="1" applyAlignment="1">
      <alignment horizontal="right"/>
    </xf>
    <xf numFmtId="0" fontId="0" fillId="0" borderId="0" xfId="0" applyFill="1" applyAlignment="1">
      <alignment horizontal="center"/>
    </xf>
    <xf numFmtId="170" fontId="3" fillId="0" borderId="4" xfId="0" applyNumberFormat="1" applyFont="1" applyFill="1" applyBorder="1"/>
    <xf numFmtId="174" fontId="0" fillId="0" borderId="0" xfId="1" applyNumberFormat="1" applyFont="1" applyBorder="1"/>
    <xf numFmtId="174" fontId="0" fillId="0" borderId="5" xfId="1" applyNumberFormat="1" applyFont="1" applyBorder="1"/>
    <xf numFmtId="0" fontId="3" fillId="0" borderId="4" xfId="0" applyFont="1" applyBorder="1"/>
    <xf numFmtId="0" fontId="3" fillId="0" borderId="6" xfId="0" applyFont="1" applyBorder="1"/>
    <xf numFmtId="9" fontId="0" fillId="0" borderId="7" xfId="1" applyFont="1" applyBorder="1"/>
    <xf numFmtId="9" fontId="0" fillId="0" borderId="0" xfId="1" applyFont="1" applyBorder="1"/>
    <xf numFmtId="0" fontId="2" fillId="7" borderId="1" xfId="0" applyFont="1" applyFill="1" applyBorder="1"/>
    <xf numFmtId="175" fontId="3" fillId="0" borderId="2" xfId="0" applyNumberFormat="1" applyFont="1" applyFill="1" applyBorder="1"/>
    <xf numFmtId="175" fontId="18" fillId="3" borderId="2" xfId="0" applyNumberFormat="1" applyFont="1" applyFill="1" applyBorder="1"/>
    <xf numFmtId="175" fontId="18" fillId="3" borderId="3" xfId="0" applyNumberFormat="1" applyFont="1" applyFill="1" applyBorder="1"/>
    <xf numFmtId="0" fontId="2" fillId="7" borderId="4" xfId="0" applyFont="1" applyFill="1" applyBorder="1"/>
    <xf numFmtId="175" fontId="3" fillId="0" borderId="0" xfId="0" applyNumberFormat="1" applyFont="1" applyFill="1" applyBorder="1"/>
    <xf numFmtId="0" fontId="2" fillId="7" borderId="6" xfId="0" applyFont="1" applyFill="1" applyBorder="1"/>
    <xf numFmtId="174" fontId="3" fillId="0" borderId="7" xfId="1" applyNumberFormat="1" applyFont="1" applyFill="1" applyBorder="1"/>
    <xf numFmtId="2" fontId="8" fillId="3" borderId="0" xfId="0" applyNumberFormat="1" applyFont="1" applyFill="1" applyBorder="1"/>
    <xf numFmtId="175" fontId="0" fillId="0" borderId="0" xfId="0" applyNumberFormat="1" applyBorder="1"/>
    <xf numFmtId="0" fontId="19" fillId="0" borderId="0" xfId="0" applyFont="1" applyFill="1" applyBorder="1"/>
    <xf numFmtId="0" fontId="2" fillId="7" borderId="0" xfId="0" applyFont="1" applyFill="1" applyBorder="1" applyAlignment="1">
      <alignment horizontal="center"/>
    </xf>
    <xf numFmtId="2" fontId="0" fillId="0" borderId="2" xfId="0" applyNumberFormat="1" applyBorder="1"/>
    <xf numFmtId="175" fontId="0" fillId="0" borderId="2" xfId="0" applyNumberFormat="1" applyBorder="1" applyAlignment="1">
      <alignment horizontal="center"/>
    </xf>
    <xf numFmtId="175" fontId="0" fillId="0" borderId="3" xfId="0" applyNumberFormat="1" applyBorder="1" applyAlignment="1">
      <alignment horizontal="center"/>
    </xf>
    <xf numFmtId="2" fontId="0" fillId="0" borderId="0" xfId="0" applyNumberFormat="1" applyBorder="1"/>
    <xf numFmtId="175" fontId="0" fillId="0" borderId="0" xfId="0" applyNumberFormat="1" applyBorder="1" applyAlignment="1">
      <alignment horizontal="center"/>
    </xf>
    <xf numFmtId="175" fontId="0" fillId="0" borderId="5" xfId="0" applyNumberFormat="1" applyBorder="1" applyAlignment="1">
      <alignment horizontal="center"/>
    </xf>
    <xf numFmtId="0" fontId="3" fillId="0" borderId="0" xfId="0" applyFont="1" applyFill="1" applyBorder="1" applyAlignment="1">
      <alignment horizontal="center"/>
    </xf>
    <xf numFmtId="172" fontId="0" fillId="0" borderId="0" xfId="0" applyNumberFormat="1" applyBorder="1" applyAlignment="1">
      <alignment horizontal="center"/>
    </xf>
    <xf numFmtId="172" fontId="0" fillId="0" borderId="5" xfId="0" applyNumberFormat="1" applyBorder="1" applyAlignment="1">
      <alignment horizontal="center"/>
    </xf>
    <xf numFmtId="176" fontId="3" fillId="0" borderId="0" xfId="0" applyNumberFormat="1" applyFont="1" applyBorder="1"/>
    <xf numFmtId="176" fontId="3" fillId="0" borderId="0" xfId="0" applyNumberFormat="1" applyFont="1" applyBorder="1" applyAlignment="1">
      <alignment horizontal="center"/>
    </xf>
    <xf numFmtId="176" fontId="3" fillId="0" borderId="5" xfId="0" applyNumberFormat="1" applyFont="1" applyBorder="1" applyAlignment="1">
      <alignment horizontal="center"/>
    </xf>
    <xf numFmtId="10" fontId="3" fillId="0" borderId="7" xfId="1" applyNumberFormat="1" applyFont="1" applyBorder="1" applyAlignment="1">
      <alignment horizontal="center"/>
    </xf>
    <xf numFmtId="10" fontId="3" fillId="0" borderId="8" xfId="1" applyNumberFormat="1" applyFont="1" applyBorder="1" applyAlignment="1">
      <alignment horizontal="center"/>
    </xf>
    <xf numFmtId="0" fontId="0" fillId="0" borderId="0" xfId="0" applyBorder="1" applyAlignment="1">
      <alignment horizontal="center"/>
    </xf>
    <xf numFmtId="0" fontId="0" fillId="0" borderId="0" xfId="0" applyFill="1" applyBorder="1" applyAlignment="1">
      <alignment horizontal="center"/>
    </xf>
    <xf numFmtId="37" fontId="2" fillId="7" borderId="0" xfId="0" applyNumberFormat="1" applyFont="1" applyFill="1" applyAlignment="1">
      <alignment horizontal="left"/>
    </xf>
    <xf numFmtId="37" fontId="2" fillId="7" borderId="0" xfId="0" applyNumberFormat="1" applyFont="1" applyFill="1" applyAlignment="1">
      <alignment horizontal="right"/>
    </xf>
    <xf numFmtId="37" fontId="2" fillId="10" borderId="0" xfId="0" applyNumberFormat="1" applyFont="1" applyFill="1" applyAlignment="1">
      <alignment horizontal="right"/>
    </xf>
    <xf numFmtId="175" fontId="0" fillId="0" borderId="0" xfId="0" applyNumberFormat="1" applyFill="1" applyBorder="1" applyAlignment="1">
      <alignment horizontal="center"/>
    </xf>
    <xf numFmtId="175" fontId="0" fillId="0" borderId="0" xfId="0" applyNumberFormat="1"/>
    <xf numFmtId="175" fontId="0" fillId="0" borderId="0" xfId="0" applyNumberFormat="1" applyFont="1" applyFill="1" applyBorder="1"/>
    <xf numFmtId="175" fontId="0" fillId="0" borderId="0" xfId="0" applyNumberFormat="1" applyFont="1" applyFill="1"/>
    <xf numFmtId="175" fontId="0" fillId="0" borderId="0" xfId="0" applyNumberFormat="1" applyFont="1"/>
    <xf numFmtId="175" fontId="3" fillId="2" borderId="10" xfId="0" applyNumberFormat="1" applyFont="1" applyFill="1" applyBorder="1"/>
    <xf numFmtId="175" fontId="0" fillId="0" borderId="0" xfId="0" applyNumberFormat="1" applyFill="1"/>
    <xf numFmtId="0" fontId="3" fillId="0" borderId="0" xfId="0" applyFont="1" applyFill="1" applyBorder="1"/>
    <xf numFmtId="175" fontId="0" fillId="0" borderId="0" xfId="0" applyNumberFormat="1" applyFont="1" applyFill="1" applyBorder="1" applyAlignment="1">
      <alignment horizontal="center"/>
    </xf>
    <xf numFmtId="175" fontId="0" fillId="0" borderId="0" xfId="0" applyNumberFormat="1" applyFill="1" applyBorder="1"/>
    <xf numFmtId="0" fontId="3" fillId="0" borderId="0" xfId="0" applyFont="1" applyFill="1"/>
    <xf numFmtId="172" fontId="3" fillId="0" borderId="0" xfId="0" applyNumberFormat="1" applyFont="1" applyFill="1" applyBorder="1"/>
    <xf numFmtId="172" fontId="3" fillId="2" borderId="10" xfId="0" applyNumberFormat="1" applyFont="1" applyFill="1" applyBorder="1"/>
    <xf numFmtId="174" fontId="1" fillId="0" borderId="0" xfId="1" applyNumberFormat="1" applyFont="1" applyFill="1" applyBorder="1"/>
    <xf numFmtId="174" fontId="7" fillId="0" borderId="0" xfId="1" applyNumberFormat="1" applyFont="1" applyFill="1" applyBorder="1"/>
    <xf numFmtId="175" fontId="2" fillId="7" borderId="0" xfId="0" applyNumberFormat="1" applyFont="1" applyFill="1"/>
    <xf numFmtId="175" fontId="4" fillId="7" borderId="0" xfId="0" applyNumberFormat="1" applyFont="1" applyFill="1"/>
    <xf numFmtId="177" fontId="0" fillId="0" borderId="0" xfId="0" applyNumberFormat="1"/>
    <xf numFmtId="37" fontId="0" fillId="0" borderId="0" xfId="0" applyNumberFormat="1"/>
    <xf numFmtId="175" fontId="0" fillId="0" borderId="0" xfId="0" applyNumberFormat="1" applyAlignment="1">
      <alignment horizontal="center"/>
    </xf>
    <xf numFmtId="0" fontId="21" fillId="0" borderId="0" xfId="0" applyFont="1" applyAlignment="1">
      <alignment horizontal="left" indent="2"/>
    </xf>
    <xf numFmtId="174" fontId="0" fillId="0" borderId="0" xfId="1" applyNumberFormat="1" applyFont="1" applyFill="1"/>
    <xf numFmtId="175" fontId="0" fillId="0" borderId="0" xfId="0" applyNumberFormat="1" applyAlignment="1">
      <alignment horizontal="right"/>
    </xf>
    <xf numFmtId="0" fontId="3" fillId="0" borderId="10" xfId="0" applyFont="1" applyBorder="1"/>
    <xf numFmtId="174" fontId="0" fillId="0" borderId="0" xfId="1" applyNumberFormat="1" applyFont="1"/>
    <xf numFmtId="0" fontId="21" fillId="0" borderId="0" xfId="0" applyFont="1"/>
    <xf numFmtId="37" fontId="2" fillId="0" borderId="0" xfId="0" applyNumberFormat="1" applyFont="1" applyFill="1" applyAlignment="1">
      <alignment horizontal="left"/>
    </xf>
    <xf numFmtId="37" fontId="2" fillId="0" borderId="0" xfId="0" applyNumberFormat="1" applyFont="1" applyFill="1" applyAlignment="1">
      <alignment horizontal="right"/>
    </xf>
    <xf numFmtId="37" fontId="0" fillId="0" borderId="0" xfId="0" applyNumberFormat="1" applyFill="1"/>
    <xf numFmtId="0" fontId="0" fillId="0" borderId="0" xfId="0" applyFont="1" applyFill="1" applyAlignment="1">
      <alignment horizontal="center"/>
    </xf>
    <xf numFmtId="37" fontId="3" fillId="0" borderId="0" xfId="0" applyNumberFormat="1" applyFont="1" applyFill="1" applyAlignment="1">
      <alignment horizontal="left"/>
    </xf>
    <xf numFmtId="37" fontId="3" fillId="0" borderId="0" xfId="0" applyNumberFormat="1" applyFont="1" applyFill="1" applyAlignment="1">
      <alignment horizontal="right"/>
    </xf>
    <xf numFmtId="37" fontId="0" fillId="0" borderId="0" xfId="0" applyNumberFormat="1" applyFont="1" applyFill="1"/>
    <xf numFmtId="175" fontId="3" fillId="0" borderId="0" xfId="0" applyNumberFormat="1" applyFont="1"/>
    <xf numFmtId="175" fontId="0" fillId="0" borderId="0" xfId="0" applyNumberFormat="1" applyFill="1" applyAlignment="1">
      <alignment horizontal="center"/>
    </xf>
    <xf numFmtId="177" fontId="0" fillId="0" borderId="0" xfId="0" applyNumberFormat="1" applyFill="1"/>
    <xf numFmtId="177" fontId="8" fillId="0" borderId="0" xfId="0" applyNumberFormat="1" applyFont="1" applyFill="1"/>
    <xf numFmtId="0" fontId="2" fillId="7" borderId="15" xfId="0" applyFont="1" applyFill="1" applyBorder="1"/>
    <xf numFmtId="0" fontId="2" fillId="7" borderId="15" xfId="0" applyFont="1" applyFill="1" applyBorder="1" applyAlignment="1">
      <alignment horizontal="center"/>
    </xf>
    <xf numFmtId="9" fontId="0" fillId="0" borderId="0" xfId="0" applyNumberFormat="1" applyFill="1" applyBorder="1" applyAlignment="1">
      <alignment horizontal="center"/>
    </xf>
    <xf numFmtId="2" fontId="0" fillId="0" borderId="0" xfId="0" applyNumberFormat="1" applyFill="1" applyBorder="1" applyAlignment="1">
      <alignment horizontal="center"/>
    </xf>
    <xf numFmtId="175" fontId="3" fillId="0" borderId="0" xfId="0" applyNumberFormat="1" applyFont="1" applyFill="1" applyBorder="1" applyAlignment="1">
      <alignment horizontal="center"/>
    </xf>
    <xf numFmtId="175" fontId="0" fillId="0" borderId="0" xfId="0" applyNumberFormat="1" applyFont="1" applyAlignment="1">
      <alignment horizontal="center"/>
    </xf>
    <xf numFmtId="175" fontId="3" fillId="0" borderId="0" xfId="0" applyNumberFormat="1" applyFont="1" applyAlignment="1">
      <alignment horizontal="center"/>
    </xf>
    <xf numFmtId="174" fontId="23" fillId="0" borderId="0" xfId="1" applyNumberFormat="1" applyFont="1" applyFill="1"/>
    <xf numFmtId="174" fontId="3" fillId="0" borderId="7" xfId="1" applyNumberFormat="1" applyFont="1" applyFill="1" applyBorder="1" applyAlignment="1">
      <alignment horizontal="right"/>
    </xf>
    <xf numFmtId="174" fontId="3" fillId="0" borderId="8" xfId="1" applyNumberFormat="1" applyFont="1" applyFill="1" applyBorder="1" applyAlignment="1">
      <alignment horizontal="right"/>
    </xf>
    <xf numFmtId="0" fontId="3" fillId="2" borderId="16" xfId="0" applyFont="1" applyFill="1" applyBorder="1"/>
    <xf numFmtId="175" fontId="3" fillId="2" borderId="16" xfId="0" applyNumberFormat="1" applyFont="1" applyFill="1" applyBorder="1"/>
    <xf numFmtId="175" fontId="18" fillId="3" borderId="0" xfId="0" applyNumberFormat="1" applyFont="1" applyFill="1" applyBorder="1"/>
    <xf numFmtId="175" fontId="18" fillId="3" borderId="5" xfId="0" applyNumberFormat="1" applyFont="1" applyFill="1" applyBorder="1"/>
    <xf numFmtId="172" fontId="0" fillId="0" borderId="0" xfId="0" applyNumberFormat="1"/>
    <xf numFmtId="9" fontId="0" fillId="0" borderId="8" xfId="1" applyFont="1" applyBorder="1"/>
    <xf numFmtId="171" fontId="0" fillId="0" borderId="0" xfId="0" applyNumberFormat="1" applyFill="1"/>
    <xf numFmtId="175" fontId="3" fillId="0" borderId="0" xfId="0" applyNumberFormat="1" applyFont="1" applyFill="1"/>
    <xf numFmtId="177" fontId="0" fillId="0" borderId="0" xfId="0" applyNumberFormat="1" applyFont="1"/>
    <xf numFmtId="177" fontId="3" fillId="0" borderId="0" xfId="0" applyNumberFormat="1" applyFont="1"/>
    <xf numFmtId="175" fontId="0" fillId="0" borderId="0" xfId="0" applyNumberFormat="1" applyFont="1" applyFill="1" applyBorder="1" applyAlignment="1">
      <alignment horizontal="left" indent="2"/>
    </xf>
    <xf numFmtId="0" fontId="0" fillId="0" borderId="0" xfId="0" applyFill="1" applyBorder="1"/>
    <xf numFmtId="0" fontId="0" fillId="0" borderId="0" xfId="0"/>
    <xf numFmtId="0" fontId="0" fillId="0" borderId="0" xfId="0" applyAlignment="1">
      <alignment horizontal="center"/>
    </xf>
    <xf numFmtId="175" fontId="8" fillId="0" borderId="0" xfId="0" applyNumberFormat="1" applyFont="1" applyFill="1" applyBorder="1"/>
    <xf numFmtId="175" fontId="7" fillId="0" borderId="0" xfId="0" applyNumberFormat="1" applyFont="1" applyFill="1" applyBorder="1"/>
    <xf numFmtId="175" fontId="7" fillId="0" borderId="0" xfId="0" applyNumberFormat="1" applyFont="1" applyFill="1"/>
    <xf numFmtId="175" fontId="22" fillId="0" borderId="0" xfId="0" applyNumberFormat="1" applyFont="1" applyFill="1" applyBorder="1" applyAlignment="1">
      <alignment horizontal="right"/>
    </xf>
    <xf numFmtId="175" fontId="22" fillId="0" borderId="0" xfId="0" applyNumberFormat="1" applyFont="1" applyFill="1" applyBorder="1"/>
    <xf numFmtId="175" fontId="24" fillId="0" borderId="0" xfId="0" applyNumberFormat="1" applyFont="1" applyFill="1" applyBorder="1"/>
    <xf numFmtId="175" fontId="7" fillId="11" borderId="0" xfId="0" applyNumberFormat="1" applyFont="1" applyFill="1" applyBorder="1"/>
    <xf numFmtId="175" fontId="3" fillId="0" borderId="10" xfId="0" applyNumberFormat="1" applyFont="1" applyBorder="1"/>
    <xf numFmtId="177" fontId="0" fillId="0" borderId="14" xfId="0" applyNumberFormat="1" applyBorder="1"/>
    <xf numFmtId="14" fontId="0" fillId="9" borderId="0" xfId="0" applyNumberFormat="1" applyFill="1" applyAlignment="1">
      <alignment horizontal="center"/>
    </xf>
    <xf numFmtId="14" fontId="0" fillId="0" borderId="0" xfId="0" applyNumberFormat="1" applyFill="1" applyAlignment="1">
      <alignment horizontal="center"/>
    </xf>
    <xf numFmtId="171" fontId="0" fillId="0" borderId="0" xfId="0" applyNumberFormat="1" applyFill="1" applyAlignment="1">
      <alignment horizontal="center"/>
    </xf>
    <xf numFmtId="2" fontId="0" fillId="0" borderId="0" xfId="0" applyNumberFormat="1" applyFill="1" applyAlignment="1">
      <alignment horizontal="center"/>
    </xf>
    <xf numFmtId="37" fontId="0" fillId="0" borderId="0" xfId="0" applyNumberFormat="1" applyFont="1" applyFill="1" applyBorder="1" applyAlignment="1">
      <alignment horizontal="left" indent="2"/>
    </xf>
    <xf numFmtId="0" fontId="0" fillId="13" borderId="0" xfId="0" applyFill="1"/>
    <xf numFmtId="0" fontId="0" fillId="13" borderId="0" xfId="0" applyFill="1" applyAlignment="1">
      <alignment horizontal="center"/>
    </xf>
    <xf numFmtId="0" fontId="0" fillId="9" borderId="0" xfId="0" applyFill="1" applyAlignment="1">
      <alignment horizontal="center"/>
    </xf>
    <xf numFmtId="14" fontId="0" fillId="0" borderId="0" xfId="0" applyNumberFormat="1" applyAlignment="1">
      <alignment horizontal="center"/>
    </xf>
    <xf numFmtId="171" fontId="0" fillId="0" borderId="0" xfId="0" applyNumberFormat="1"/>
    <xf numFmtId="171" fontId="0" fillId="9" borderId="0" xfId="0" applyNumberFormat="1" applyFill="1"/>
    <xf numFmtId="14" fontId="0" fillId="0" borderId="0" xfId="0" applyNumberFormat="1" applyBorder="1" applyAlignment="1">
      <alignment horizontal="center"/>
    </xf>
    <xf numFmtId="171" fontId="0" fillId="0" borderId="0" xfId="0" applyNumberFormat="1" applyBorder="1"/>
    <xf numFmtId="178" fontId="0" fillId="0" borderId="2" xfId="0" applyNumberFormat="1" applyBorder="1"/>
    <xf numFmtId="178" fontId="0" fillId="0" borderId="3" xfId="0" applyNumberFormat="1" applyBorder="1"/>
    <xf numFmtId="178" fontId="0" fillId="0" borderId="0" xfId="0" applyNumberFormat="1" applyBorder="1"/>
    <xf numFmtId="178" fontId="0" fillId="0" borderId="5" xfId="0" applyNumberFormat="1" applyBorder="1"/>
    <xf numFmtId="178" fontId="0" fillId="0" borderId="7" xfId="0" applyNumberFormat="1" applyBorder="1"/>
    <xf numFmtId="178" fontId="0" fillId="0" borderId="8" xfId="0" applyNumberFormat="1" applyBorder="1"/>
    <xf numFmtId="2" fontId="0" fillId="0" borderId="0" xfId="0" applyNumberFormat="1"/>
    <xf numFmtId="2" fontId="0" fillId="9" borderId="0" xfId="0" applyNumberFormat="1" applyFill="1"/>
    <xf numFmtId="2" fontId="0" fillId="9" borderId="0" xfId="0" applyNumberFormat="1" applyFill="1" applyBorder="1" applyAlignment="1">
      <alignment horizontal="center"/>
    </xf>
    <xf numFmtId="175" fontId="0" fillId="0" borderId="0" xfId="0" applyNumberFormat="1" applyAlignment="1">
      <alignment horizontal="left" indent="2"/>
    </xf>
    <xf numFmtId="175" fontId="3" fillId="0" borderId="0" xfId="0" applyNumberFormat="1" applyFont="1" applyAlignment="1">
      <alignment horizontal="left"/>
    </xf>
    <xf numFmtId="175" fontId="0" fillId="0" borderId="0" xfId="0" applyNumberFormat="1" applyFont="1" applyAlignment="1">
      <alignment horizontal="left" indent="2"/>
    </xf>
    <xf numFmtId="175" fontId="3" fillId="14" borderId="0" xfId="0" applyNumberFormat="1" applyFont="1" applyFill="1"/>
    <xf numFmtId="175" fontId="0" fillId="0" borderId="0" xfId="0" applyNumberFormat="1" applyAlignment="1">
      <alignment horizontal="left"/>
    </xf>
    <xf numFmtId="173" fontId="18" fillId="0" borderId="2" xfId="0" applyNumberFormat="1" applyFont="1" applyFill="1" applyBorder="1" applyAlignment="1">
      <alignment horizontal="right"/>
    </xf>
    <xf numFmtId="172" fontId="18" fillId="3" borderId="14" xfId="0" applyNumberFormat="1" applyFont="1" applyFill="1" applyBorder="1"/>
    <xf numFmtId="175" fontId="7" fillId="3" borderId="0" xfId="0" applyNumberFormat="1" applyFont="1" applyFill="1" applyBorder="1"/>
    <xf numFmtId="175" fontId="8" fillId="3" borderId="0" xfId="0" applyNumberFormat="1" applyFont="1" applyFill="1" applyBorder="1" applyAlignment="1">
      <alignment horizontal="right"/>
    </xf>
    <xf numFmtId="175" fontId="8" fillId="3" borderId="0" xfId="0" applyNumberFormat="1" applyFont="1" applyFill="1" applyBorder="1"/>
    <xf numFmtId="177" fontId="8" fillId="3" borderId="0" xfId="0" applyNumberFormat="1" applyFont="1" applyFill="1"/>
    <xf numFmtId="175" fontId="0" fillId="11" borderId="0" xfId="0" applyNumberFormat="1" applyFill="1" applyBorder="1"/>
    <xf numFmtId="175" fontId="0" fillId="11" borderId="0" xfId="0" applyNumberFormat="1" applyFont="1" applyFill="1" applyBorder="1"/>
    <xf numFmtId="175" fontId="22" fillId="11" borderId="0" xfId="0" applyNumberFormat="1" applyFont="1" applyFill="1" applyBorder="1"/>
    <xf numFmtId="175" fontId="18" fillId="12" borderId="0" xfId="0" applyNumberFormat="1" applyFont="1" applyFill="1"/>
    <xf numFmtId="175" fontId="3" fillId="11" borderId="0" xfId="0" applyNumberFormat="1" applyFont="1" applyFill="1" applyBorder="1"/>
    <xf numFmtId="0" fontId="0" fillId="2" borderId="0" xfId="0" applyFill="1"/>
    <xf numFmtId="9" fontId="0" fillId="2" borderId="0" xfId="0" applyNumberFormat="1" applyFill="1" applyBorder="1" applyAlignment="1">
      <alignment horizontal="center"/>
    </xf>
    <xf numFmtId="2" fontId="0" fillId="2" borderId="0" xfId="0" applyNumberFormat="1" applyFill="1" applyAlignment="1">
      <alignment horizontal="center"/>
    </xf>
    <xf numFmtId="2" fontId="0" fillId="2" borderId="0" xfId="0" applyNumberFormat="1" applyFill="1" applyBorder="1" applyAlignment="1">
      <alignment horizontal="center"/>
    </xf>
    <xf numFmtId="0" fontId="2" fillId="7" borderId="9" xfId="0" applyFont="1" applyFill="1" applyBorder="1"/>
    <xf numFmtId="0" fontId="4" fillId="7" borderId="10" xfId="0" applyFont="1" applyFill="1" applyBorder="1"/>
    <xf numFmtId="0" fontId="25" fillId="7" borderId="9" xfId="0" applyFont="1" applyFill="1" applyBorder="1" applyAlignment="1">
      <alignment vertical="center"/>
    </xf>
    <xf numFmtId="0" fontId="6" fillId="3" borderId="0" xfId="0" applyFont="1" applyFill="1" applyAlignment="1">
      <alignment vertical="center"/>
    </xf>
    <xf numFmtId="172" fontId="17" fillId="0" borderId="14" xfId="0" applyNumberFormat="1" applyFont="1" applyFill="1" applyBorder="1"/>
    <xf numFmtId="175" fontId="0" fillId="0" borderId="0" xfId="0" applyNumberFormat="1" applyFont="1" applyFill="1" applyBorder="1" applyAlignment="1">
      <alignment horizontal="right"/>
    </xf>
    <xf numFmtId="174" fontId="0" fillId="0" borderId="0" xfId="1" applyNumberFormat="1" applyFont="1" applyFill="1" applyBorder="1"/>
    <xf numFmtId="177" fontId="0" fillId="0" borderId="0" xfId="0" applyNumberFormat="1" applyFont="1" applyFill="1"/>
    <xf numFmtId="0" fontId="0" fillId="0" borderId="0" xfId="0" applyFont="1" applyFill="1" applyBorder="1"/>
    <xf numFmtId="175" fontId="0" fillId="0" borderId="0" xfId="0" applyNumberFormat="1" applyFont="1" applyFill="1" applyAlignment="1">
      <alignment horizontal="center"/>
    </xf>
    <xf numFmtId="0" fontId="0" fillId="4" borderId="0" xfId="0" applyFill="1" applyAlignment="1">
      <alignment horizontal="center"/>
    </xf>
    <xf numFmtId="0" fontId="0" fillId="4" borderId="0" xfId="0" applyFill="1" applyBorder="1" applyAlignment="1">
      <alignment horizontal="center"/>
    </xf>
    <xf numFmtId="9" fontId="0" fillId="4" borderId="0" xfId="0" applyNumberFormat="1" applyFill="1" applyBorder="1" applyAlignment="1">
      <alignment horizontal="center"/>
    </xf>
    <xf numFmtId="14" fontId="0" fillId="4" borderId="0" xfId="0" applyNumberFormat="1" applyFill="1" applyAlignment="1">
      <alignment horizontal="center"/>
    </xf>
    <xf numFmtId="171" fontId="0" fillId="4" borderId="0" xfId="0" applyNumberFormat="1" applyFill="1"/>
    <xf numFmtId="2" fontId="0" fillId="4" borderId="0" xfId="0" applyNumberFormat="1" applyFill="1"/>
    <xf numFmtId="2" fontId="0" fillId="4" borderId="0" xfId="0" applyNumberFormat="1" applyFill="1" applyBorder="1" applyAlignment="1">
      <alignment horizontal="center"/>
    </xf>
    <xf numFmtId="2" fontId="0" fillId="0" borderId="0" xfId="0" applyNumberFormat="1" applyFill="1"/>
  </cellXfs>
  <cellStyles count="28">
    <cellStyle name="Comma 2" xfId="3"/>
    <cellStyle name="Comma 3" xfId="4"/>
    <cellStyle name="Comma 4" xfId="5"/>
    <cellStyle name="Comma 5" xfId="6"/>
    <cellStyle name="Comma 6" xfId="7"/>
    <cellStyle name="Comma 7" xfId="8"/>
    <cellStyle name="Comma 8" xfId="9"/>
    <cellStyle name="Comma_Q3" xfId="10"/>
    <cellStyle name="Currency 2" xfId="11"/>
    <cellStyle name="General" xfId="12"/>
    <cellStyle name="Header" xfId="13"/>
    <cellStyle name="Hipervínculo" xfId="2" builtinId="8"/>
    <cellStyle name="Millares 2" xfId="14"/>
    <cellStyle name="Millares 3" xfId="15"/>
    <cellStyle name="Millares 4" xfId="16"/>
    <cellStyle name="Moneda 2" xfId="17"/>
    <cellStyle name="Normal" xfId="0" builtinId="0"/>
    <cellStyle name="Normal 12" xfId="18"/>
    <cellStyle name="Normal 2" xfId="19"/>
    <cellStyle name="Normal 2 2" xfId="20"/>
    <cellStyle name="Normal 2 3" xfId="21"/>
    <cellStyle name="Normal 2 4" xfId="22"/>
    <cellStyle name="Normal 3" xfId="23"/>
    <cellStyle name="Normal 3 2" xfId="24"/>
    <cellStyle name="Percent 2" xfId="25"/>
    <cellStyle name="Percent 2 2" xfId="26"/>
    <cellStyle name="Porcentaje" xfId="1" builtinId="5"/>
    <cellStyle name="Porcentaje 2" xfId="27"/>
  </cellStyles>
  <dxfs count="0"/>
  <tableStyles count="0" defaultTableStyle="TableStyleMedium2" defaultPivotStyle="PivotStyleLight16"/>
  <colors>
    <mruColors>
      <color rgb="FFFFCCCC"/>
      <color rgb="FFFCFA9C"/>
      <color rgb="FF0000FF"/>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18</xdr:col>
      <xdr:colOff>426493</xdr:colOff>
      <xdr:row>12</xdr:row>
      <xdr:rowOff>161364</xdr:rowOff>
    </xdr:from>
    <xdr:to>
      <xdr:col>28</xdr:col>
      <xdr:colOff>13200</xdr:colOff>
      <xdr:row>42</xdr:row>
      <xdr:rowOff>71717</xdr:rowOff>
    </xdr:to>
    <xdr:pic>
      <xdr:nvPicPr>
        <xdr:cNvPr id="2" name="1 Imagen"/>
        <xdr:cNvPicPr>
          <a:picLocks noChangeAspect="1"/>
        </xdr:cNvPicPr>
      </xdr:nvPicPr>
      <xdr:blipFill>
        <a:blip xmlns:r="http://schemas.openxmlformats.org/officeDocument/2006/relationships" r:embed="rId1"/>
        <a:stretch>
          <a:fillRect/>
        </a:stretch>
      </xdr:blipFill>
      <xdr:spPr>
        <a:xfrm>
          <a:off x="15881646" y="2312893"/>
          <a:ext cx="7475648" cy="5289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546846</xdr:colOff>
      <xdr:row>49</xdr:row>
      <xdr:rowOff>179293</xdr:rowOff>
    </xdr:from>
    <xdr:to>
      <xdr:col>23</xdr:col>
      <xdr:colOff>83209</xdr:colOff>
      <xdr:row>64</xdr:row>
      <xdr:rowOff>166780</xdr:rowOff>
    </xdr:to>
    <xdr:pic>
      <xdr:nvPicPr>
        <xdr:cNvPr id="2" name="1 Imagen"/>
        <xdr:cNvPicPr>
          <a:picLocks noChangeAspect="1"/>
        </xdr:cNvPicPr>
      </xdr:nvPicPr>
      <xdr:blipFill>
        <a:blip xmlns:r="http://schemas.openxmlformats.org/officeDocument/2006/relationships" r:embed="rId1"/>
        <a:stretch>
          <a:fillRect/>
        </a:stretch>
      </xdr:blipFill>
      <xdr:spPr>
        <a:xfrm>
          <a:off x="12120281" y="8964705"/>
          <a:ext cx="10078857" cy="2676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242048</xdr:colOff>
      <xdr:row>76</xdr:row>
      <xdr:rowOff>107577</xdr:rowOff>
    </xdr:from>
    <xdr:to>
      <xdr:col>11</xdr:col>
      <xdr:colOff>764928</xdr:colOff>
      <xdr:row>98</xdr:row>
      <xdr:rowOff>49848</xdr:rowOff>
    </xdr:to>
    <xdr:pic>
      <xdr:nvPicPr>
        <xdr:cNvPr id="2" name="1 Imagen"/>
        <xdr:cNvPicPr>
          <a:picLocks noChangeAspect="1"/>
        </xdr:cNvPicPr>
      </xdr:nvPicPr>
      <xdr:blipFill>
        <a:blip xmlns:r="http://schemas.openxmlformats.org/officeDocument/2006/relationships" r:embed="rId1"/>
        <a:stretch>
          <a:fillRect/>
        </a:stretch>
      </xdr:blipFill>
      <xdr:spPr>
        <a:xfrm>
          <a:off x="6723530" y="13733930"/>
          <a:ext cx="4915586" cy="38867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528917</xdr:colOff>
      <xdr:row>55</xdr:row>
      <xdr:rowOff>8965</xdr:rowOff>
    </xdr:from>
    <xdr:to>
      <xdr:col>19</xdr:col>
      <xdr:colOff>616812</xdr:colOff>
      <xdr:row>63</xdr:row>
      <xdr:rowOff>91956</xdr:rowOff>
    </xdr:to>
    <xdr:pic>
      <xdr:nvPicPr>
        <xdr:cNvPr id="3" name="2 Imagen"/>
        <xdr:cNvPicPr>
          <a:picLocks noChangeAspect="1"/>
        </xdr:cNvPicPr>
      </xdr:nvPicPr>
      <xdr:blipFill>
        <a:blip xmlns:r="http://schemas.openxmlformats.org/officeDocument/2006/relationships" r:embed="rId1"/>
        <a:stretch>
          <a:fillRect/>
        </a:stretch>
      </xdr:blipFill>
      <xdr:spPr>
        <a:xfrm>
          <a:off x="9161929" y="9870141"/>
          <a:ext cx="7116224" cy="15173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aluations_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Master"/>
      <sheetName val="Vessels Values Master"/>
    </sheetNames>
    <sheetDataSet>
      <sheetData sheetId="0">
        <row r="19">
          <cell r="C19">
            <v>29.78</v>
          </cell>
        </row>
      </sheetData>
      <sheetData sheetId="1">
        <row r="41">
          <cell r="C41">
            <v>7.9629629629629809E-4</v>
          </cell>
          <cell r="D41">
            <v>-1.8253968253968356E-2</v>
          </cell>
          <cell r="E41">
            <v>-2.8417328042328025</v>
          </cell>
          <cell r="F41">
            <v>83.073888888888874</v>
          </cell>
          <cell r="I41">
            <v>2.0018518518518536E-3</v>
          </cell>
          <cell r="J41">
            <v>-5.3944444444444566E-2</v>
          </cell>
          <cell r="K41">
            <v>-2.5852050264550246</v>
          </cell>
          <cell r="L41">
            <v>78.819484126984122</v>
          </cell>
          <cell r="O41">
            <v>2.1370370370370402E-3</v>
          </cell>
          <cell r="P41">
            <v>-6.9460317460317667E-2</v>
          </cell>
          <cell r="Q41">
            <v>-1.018743386243383</v>
          </cell>
          <cell r="R41">
            <v>43.763253968253949</v>
          </cell>
        </row>
        <row r="50">
          <cell r="C50">
            <v>2.1648148148148186E-3</v>
          </cell>
          <cell r="D50">
            <v>-7.1912698412698609E-2</v>
          </cell>
          <cell r="E50">
            <v>-0.96896164021163778</v>
          </cell>
          <cell r="F50">
            <v>42.716944444444444</v>
          </cell>
          <cell r="O50">
            <v>1.5648148148148158E-3</v>
          </cell>
          <cell r="P50">
            <v>-5.3055555555555627E-2</v>
          </cell>
          <cell r="Q50">
            <v>-1.1039616402116386</v>
          </cell>
          <cell r="R50">
            <v>42.335515873015865</v>
          </cell>
          <cell r="U50">
            <v>1.7796296296296345E-3</v>
          </cell>
          <cell r="V50">
            <v>-5.7896825396825606E-2</v>
          </cell>
          <cell r="W50">
            <v>-0.75131613756613458</v>
          </cell>
          <cell r="X50">
            <v>33.439960317460304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ourios.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showGridLines="0" zoomScale="85" zoomScaleNormal="85" workbookViewId="0">
      <selection activeCell="A6" sqref="A6"/>
    </sheetView>
  </sheetViews>
  <sheetFormatPr baseColWidth="10" defaultColWidth="0" defaultRowHeight="0" customHeight="1" zeroHeight="1" x14ac:dyDescent="0.3"/>
  <cols>
    <col min="1" max="1" width="29.33203125" style="142" bestFit="1" customWidth="1"/>
    <col min="2" max="19" width="11.5546875" style="142" customWidth="1"/>
    <col min="20" max="16384" width="0" style="142" hidden="1"/>
  </cols>
  <sheetData>
    <row r="1" spans="1:8" ht="14.4" customHeight="1" x14ac:dyDescent="0.3"/>
    <row r="2" spans="1:8" ht="14.4" customHeight="1" thickBot="1" x14ac:dyDescent="0.35"/>
    <row r="3" spans="1:8" ht="14.4" customHeight="1" x14ac:dyDescent="0.3">
      <c r="A3" s="1" t="s">
        <v>146</v>
      </c>
      <c r="F3" s="2" t="s">
        <v>0</v>
      </c>
      <c r="G3" s="3"/>
      <c r="H3" s="4"/>
    </row>
    <row r="4" spans="1:8" ht="14.4" customHeight="1" x14ac:dyDescent="0.3">
      <c r="A4" s="142" t="s">
        <v>147</v>
      </c>
      <c r="F4" s="5" t="s">
        <v>444</v>
      </c>
      <c r="G4" s="6"/>
      <c r="H4" s="7"/>
    </row>
    <row r="5" spans="1:8" ht="14.4" customHeight="1" x14ac:dyDescent="0.3">
      <c r="F5" s="5" t="s">
        <v>445</v>
      </c>
      <c r="G5" s="6"/>
      <c r="H5" s="7"/>
    </row>
    <row r="6" spans="1:8" ht="14.4" customHeight="1" x14ac:dyDescent="0.3">
      <c r="F6" s="8" t="s">
        <v>446</v>
      </c>
      <c r="G6" s="6"/>
      <c r="H6" s="7"/>
    </row>
    <row r="7" spans="1:8" ht="14.4" customHeight="1" thickBot="1" x14ac:dyDescent="0.35">
      <c r="F7" s="9"/>
      <c r="G7" s="10"/>
      <c r="H7" s="11"/>
    </row>
    <row r="8" spans="1:8" ht="14.4" customHeight="1" x14ac:dyDescent="0.3"/>
    <row r="9" spans="1:8" ht="14.4" customHeight="1" x14ac:dyDescent="0.3"/>
    <row r="10" spans="1:8" s="196" customFormat="1" ht="14.4" customHeight="1" x14ac:dyDescent="0.3">
      <c r="A10" s="195" t="s">
        <v>1</v>
      </c>
    </row>
    <row r="11" spans="1:8" ht="14.4" customHeight="1" x14ac:dyDescent="0.3">
      <c r="A11" s="12" t="s">
        <v>2</v>
      </c>
    </row>
    <row r="12" spans="1:8" ht="14.4" customHeight="1" x14ac:dyDescent="0.3">
      <c r="A12" s="12" t="s">
        <v>3</v>
      </c>
    </row>
    <row r="13" spans="1:8" ht="14.4" customHeight="1" x14ac:dyDescent="0.3">
      <c r="A13" s="12"/>
    </row>
    <row r="14" spans="1:8" ht="14.4" customHeight="1" x14ac:dyDescent="0.3">
      <c r="A14" s="12"/>
    </row>
    <row r="15" spans="1:8" ht="14.4" customHeight="1" x14ac:dyDescent="0.3">
      <c r="A15" s="12"/>
    </row>
    <row r="16" spans="1:8" s="196" customFormat="1" ht="14.4" customHeight="1" x14ac:dyDescent="0.3">
      <c r="A16" s="195" t="s">
        <v>447</v>
      </c>
    </row>
    <row r="17" spans="1:2" ht="14.4" customHeight="1" x14ac:dyDescent="0.3">
      <c r="A17" s="142" t="s">
        <v>448</v>
      </c>
    </row>
    <row r="18" spans="1:2" ht="14.4" customHeight="1" x14ac:dyDescent="0.3">
      <c r="A18" s="142" t="s">
        <v>449</v>
      </c>
    </row>
    <row r="19" spans="1:2" ht="14.4" customHeight="1" x14ac:dyDescent="0.3"/>
    <row r="20" spans="1:2" ht="14.4" customHeight="1" x14ac:dyDescent="0.3">
      <c r="A20" s="12"/>
    </row>
    <row r="21" spans="1:2" ht="14.4" customHeight="1" x14ac:dyDescent="0.3">
      <c r="A21" s="12"/>
    </row>
    <row r="22" spans="1:2" s="196" customFormat="1" ht="14.4" customHeight="1" x14ac:dyDescent="0.3">
      <c r="A22" s="197" t="s">
        <v>450</v>
      </c>
    </row>
    <row r="23" spans="1:2" ht="14.4" customHeight="1" x14ac:dyDescent="0.3">
      <c r="A23" s="13" t="s">
        <v>4</v>
      </c>
      <c r="B23" s="142" t="s">
        <v>5</v>
      </c>
    </row>
    <row r="24" spans="1:2" ht="14.4" customHeight="1" x14ac:dyDescent="0.3">
      <c r="A24" s="14" t="s">
        <v>6</v>
      </c>
      <c r="B24" s="142" t="s">
        <v>7</v>
      </c>
    </row>
    <row r="25" spans="1:2" ht="14.4" customHeight="1" x14ac:dyDescent="0.3">
      <c r="A25" s="142" t="s">
        <v>8</v>
      </c>
      <c r="B25" s="142" t="s">
        <v>9</v>
      </c>
    </row>
    <row r="26" spans="1:2" ht="14.4" customHeight="1" x14ac:dyDescent="0.3">
      <c r="A26" s="198" t="s">
        <v>10</v>
      </c>
      <c r="B26" s="1" t="s">
        <v>11</v>
      </c>
    </row>
    <row r="27" spans="1:2" s="16" customFormat="1" ht="14.4" customHeight="1" x14ac:dyDescent="0.3">
      <c r="A27" s="15"/>
    </row>
    <row r="28" spans="1:2" s="16" customFormat="1" ht="14.4" customHeight="1" x14ac:dyDescent="0.3">
      <c r="A28" s="15"/>
    </row>
    <row r="29" spans="1:2" ht="14.4" customHeight="1" x14ac:dyDescent="0.3"/>
    <row r="30" spans="1:2" s="18" customFormat="1" ht="14.4" customHeight="1" x14ac:dyDescent="0.3">
      <c r="A30" s="17" t="s">
        <v>12</v>
      </c>
    </row>
    <row r="31" spans="1:2" ht="14.4" customHeight="1" x14ac:dyDescent="0.3">
      <c r="A31" s="142" t="s">
        <v>13</v>
      </c>
      <c r="B31" s="142" t="s">
        <v>451</v>
      </c>
    </row>
    <row r="32" spans="1:2" ht="14.4" customHeight="1" x14ac:dyDescent="0.3">
      <c r="A32" s="19" t="s">
        <v>14</v>
      </c>
      <c r="B32" s="142" t="s">
        <v>452</v>
      </c>
    </row>
    <row r="33" spans="1:2" ht="14.4" customHeight="1" x14ac:dyDescent="0.3">
      <c r="A33" s="19" t="s">
        <v>15</v>
      </c>
      <c r="B33" s="142" t="s">
        <v>16</v>
      </c>
    </row>
    <row r="34" spans="1:2" ht="14.4" customHeight="1" x14ac:dyDescent="0.3">
      <c r="A34" s="19" t="s">
        <v>17</v>
      </c>
      <c r="B34" s="142" t="s">
        <v>453</v>
      </c>
    </row>
    <row r="35" spans="1:2" ht="14.4" customHeight="1" x14ac:dyDescent="0.3">
      <c r="A35" s="19" t="s">
        <v>18</v>
      </c>
      <c r="B35" s="142" t="s">
        <v>454</v>
      </c>
    </row>
    <row r="36" spans="1:2" ht="14.4" customHeight="1" x14ac:dyDescent="0.3">
      <c r="A36" s="19" t="s">
        <v>19</v>
      </c>
      <c r="B36" s="142" t="s">
        <v>20</v>
      </c>
    </row>
    <row r="37" spans="1:2" ht="14.4" customHeight="1" x14ac:dyDescent="0.3">
      <c r="A37" s="19" t="s">
        <v>21</v>
      </c>
      <c r="B37" s="142" t="s">
        <v>22</v>
      </c>
    </row>
    <row r="38" spans="1:2" ht="14.4" customHeight="1" x14ac:dyDescent="0.3">
      <c r="A38" s="19" t="s">
        <v>23</v>
      </c>
      <c r="B38" s="142" t="s">
        <v>24</v>
      </c>
    </row>
    <row r="39" spans="1:2" ht="14.4" customHeight="1" x14ac:dyDescent="0.3">
      <c r="A39" s="19" t="s">
        <v>25</v>
      </c>
      <c r="B39" s="142" t="s">
        <v>26</v>
      </c>
    </row>
    <row r="40" spans="1:2" ht="14.4" customHeight="1" x14ac:dyDescent="0.3">
      <c r="A40" s="19" t="s">
        <v>27</v>
      </c>
      <c r="B40" s="142" t="s">
        <v>28</v>
      </c>
    </row>
    <row r="41" spans="1:2" ht="14.4" customHeight="1" x14ac:dyDescent="0.3">
      <c r="A41" s="142" t="s">
        <v>29</v>
      </c>
      <c r="B41" s="142" t="s">
        <v>30</v>
      </c>
    </row>
    <row r="42" spans="1:2" ht="14.4" customHeight="1" x14ac:dyDescent="0.3">
      <c r="A42" s="142" t="s">
        <v>455</v>
      </c>
      <c r="B42" s="142" t="s">
        <v>456</v>
      </c>
    </row>
    <row r="43" spans="1:2" ht="14.4" customHeight="1" x14ac:dyDescent="0.3">
      <c r="A43" s="20"/>
    </row>
    <row r="44" spans="1:2" ht="14.4" customHeight="1" x14ac:dyDescent="0.3">
      <c r="A44" s="21" t="s">
        <v>31</v>
      </c>
    </row>
    <row r="45" spans="1:2" ht="14.4" customHeight="1" x14ac:dyDescent="0.3">
      <c r="A45" s="142" t="s">
        <v>32</v>
      </c>
      <c r="B45" s="142" t="s">
        <v>33</v>
      </c>
    </row>
    <row r="46" spans="1:2" ht="14.4" customHeight="1" x14ac:dyDescent="0.3">
      <c r="A46" s="22" t="s">
        <v>34</v>
      </c>
      <c r="B46" s="142" t="s">
        <v>35</v>
      </c>
    </row>
    <row r="47" spans="1:2" ht="14.4" customHeight="1" x14ac:dyDescent="0.3">
      <c r="A47" s="36" t="s">
        <v>36</v>
      </c>
      <c r="B47" s="142" t="s">
        <v>457</v>
      </c>
    </row>
    <row r="48" spans="1:2" ht="14.4" customHeight="1" x14ac:dyDescent="0.3">
      <c r="A48" s="191" t="s">
        <v>458</v>
      </c>
      <c r="B48" s="142" t="s">
        <v>459</v>
      </c>
    </row>
    <row r="49" spans="1:4" ht="14.4" customHeight="1" x14ac:dyDescent="0.3">
      <c r="A49" s="16"/>
      <c r="B49" s="16"/>
      <c r="C49" s="16"/>
    </row>
    <row r="50" spans="1:4" ht="14.4" customHeight="1" x14ac:dyDescent="0.3">
      <c r="A50" s="24" t="s">
        <v>460</v>
      </c>
      <c r="B50" s="25"/>
      <c r="C50" s="25"/>
      <c r="D50" s="25"/>
    </row>
    <row r="51" spans="1:4" ht="14.4" customHeight="1" x14ac:dyDescent="0.3"/>
    <row r="52" spans="1:4" ht="14.4" customHeight="1" x14ac:dyDescent="0.3"/>
    <row r="53" spans="1:4" s="18" customFormat="1" ht="14.4" customHeight="1" x14ac:dyDescent="0.3">
      <c r="A53" s="17" t="s">
        <v>37</v>
      </c>
    </row>
    <row r="54" spans="1:4" ht="14.4" customHeight="1" x14ac:dyDescent="0.3">
      <c r="A54" s="142" t="s">
        <v>38</v>
      </c>
    </row>
    <row r="55" spans="1:4" ht="14.4" customHeight="1" x14ac:dyDescent="0.3">
      <c r="A55" s="142" t="s">
        <v>39</v>
      </c>
      <c r="B55" s="142" t="s">
        <v>40</v>
      </c>
    </row>
    <row r="56" spans="1:4" ht="14.4" customHeight="1" x14ac:dyDescent="0.3">
      <c r="A56" s="142" t="s">
        <v>41</v>
      </c>
      <c r="B56" s="142" t="s">
        <v>42</v>
      </c>
    </row>
    <row r="57" spans="1:4" ht="14.4" customHeight="1" x14ac:dyDescent="0.3"/>
    <row r="58" spans="1:4" s="6" customFormat="1" ht="14.4" customHeight="1" x14ac:dyDescent="0.3">
      <c r="A58" s="23" t="s">
        <v>461</v>
      </c>
    </row>
    <row r="59" spans="1:4" ht="14.4" customHeight="1" x14ac:dyDescent="0.3">
      <c r="A59" s="142" t="s">
        <v>462</v>
      </c>
    </row>
    <row r="60" spans="1:4" ht="14.4" customHeight="1" x14ac:dyDescent="0.3"/>
    <row r="61" spans="1:4" ht="14.4" customHeight="1" x14ac:dyDescent="0.3">
      <c r="A61" s="24" t="s">
        <v>460</v>
      </c>
      <c r="B61" s="25"/>
      <c r="C61" s="25"/>
      <c r="D61" s="25"/>
    </row>
    <row r="62" spans="1:4" ht="14.4" customHeight="1" x14ac:dyDescent="0.3"/>
    <row r="63" spans="1:4" ht="14.4" customHeight="1" x14ac:dyDescent="0.3"/>
    <row r="64" spans="1:4" s="18" customFormat="1" ht="14.4" customHeight="1" x14ac:dyDescent="0.3">
      <c r="A64" s="17" t="s">
        <v>43</v>
      </c>
    </row>
    <row r="65" spans="1:4" ht="14.4" customHeight="1" x14ac:dyDescent="0.3">
      <c r="A65" s="142" t="s">
        <v>44</v>
      </c>
    </row>
    <row r="66" spans="1:4" ht="14.4" customHeight="1" x14ac:dyDescent="0.3">
      <c r="A66" s="142" t="s">
        <v>45</v>
      </c>
      <c r="B66" s="142" t="s">
        <v>463</v>
      </c>
    </row>
    <row r="67" spans="1:4" ht="14.4" customHeight="1" x14ac:dyDescent="0.3">
      <c r="A67" s="142" t="s">
        <v>46</v>
      </c>
      <c r="B67" s="142" t="s">
        <v>47</v>
      </c>
    </row>
    <row r="68" spans="1:4" ht="14.4" customHeight="1" x14ac:dyDescent="0.3">
      <c r="A68" s="142" t="s">
        <v>48</v>
      </c>
      <c r="B68" s="142" t="s">
        <v>49</v>
      </c>
    </row>
    <row r="69" spans="1:4" ht="14.4" customHeight="1" x14ac:dyDescent="0.3"/>
    <row r="70" spans="1:4" s="6" customFormat="1" ht="14.4" customHeight="1" x14ac:dyDescent="0.3">
      <c r="A70" s="23" t="s">
        <v>461</v>
      </c>
    </row>
    <row r="71" spans="1:4" ht="14.4" customHeight="1" x14ac:dyDescent="0.3">
      <c r="A71" s="142" t="s">
        <v>50</v>
      </c>
    </row>
    <row r="72" spans="1:4" ht="14.4" customHeight="1" x14ac:dyDescent="0.3">
      <c r="A72" s="142" t="s">
        <v>464</v>
      </c>
    </row>
    <row r="73" spans="1:4" ht="14.4" customHeight="1" x14ac:dyDescent="0.3">
      <c r="A73" s="142" t="s">
        <v>465</v>
      </c>
    </row>
    <row r="74" spans="1:4" ht="14.4" customHeight="1" x14ac:dyDescent="0.3"/>
    <row r="75" spans="1:4" ht="14.4" customHeight="1" x14ac:dyDescent="0.3">
      <c r="A75" s="24" t="s">
        <v>460</v>
      </c>
      <c r="B75" s="25"/>
      <c r="C75" s="25"/>
      <c r="D75" s="25"/>
    </row>
    <row r="76" spans="1:4" ht="14.4" customHeight="1" x14ac:dyDescent="0.3"/>
    <row r="77" spans="1:4" ht="14.4" customHeight="1" x14ac:dyDescent="0.3"/>
    <row r="78" spans="1:4" s="18" customFormat="1" ht="14.4" customHeight="1" x14ac:dyDescent="0.3">
      <c r="A78" s="17" t="s">
        <v>51</v>
      </c>
    </row>
    <row r="79" spans="1:4" ht="14.4" customHeight="1" x14ac:dyDescent="0.3">
      <c r="A79" s="142" t="s">
        <v>52</v>
      </c>
    </row>
    <row r="80" spans="1:4" ht="14.4" customHeight="1" x14ac:dyDescent="0.3">
      <c r="A80" s="142" t="s">
        <v>53</v>
      </c>
    </row>
    <row r="81" spans="1:4" ht="14.4" customHeight="1" x14ac:dyDescent="0.3"/>
    <row r="82" spans="1:4" s="6" customFormat="1" ht="14.4" customHeight="1" x14ac:dyDescent="0.3">
      <c r="A82" s="23" t="s">
        <v>461</v>
      </c>
    </row>
    <row r="83" spans="1:4" ht="14.4" customHeight="1" x14ac:dyDescent="0.3">
      <c r="A83" s="142" t="s">
        <v>433</v>
      </c>
    </row>
    <row r="84" spans="1:4" ht="14.4" customHeight="1" x14ac:dyDescent="0.3"/>
    <row r="85" spans="1:4" ht="14.4" customHeight="1" x14ac:dyDescent="0.3">
      <c r="A85" s="24" t="s">
        <v>460</v>
      </c>
      <c r="B85" s="25"/>
      <c r="C85" s="25"/>
      <c r="D85" s="25"/>
    </row>
    <row r="86" spans="1:4" ht="14.4" customHeight="1" x14ac:dyDescent="0.3"/>
    <row r="87" spans="1:4" ht="14.4" customHeight="1" x14ac:dyDescent="0.3"/>
    <row r="88" spans="1:4" ht="14.4" customHeight="1" x14ac:dyDescent="0.3"/>
    <row r="89" spans="1:4" ht="14.4" customHeight="1" x14ac:dyDescent="0.3"/>
    <row r="90" spans="1:4" ht="14.4" customHeight="1" x14ac:dyDescent="0.3"/>
    <row r="91" spans="1:4" ht="14.4" customHeight="1" x14ac:dyDescent="0.3"/>
  </sheetData>
  <hyperlinks>
    <hyperlink ref="F6" r:id="rId1"/>
    <hyperlink ref="A30" location="NAV!A1" display="NAV Content"/>
    <hyperlink ref="A53" location="'P&amp;L'!A1" display="P&amp;L Content"/>
    <hyperlink ref="A64" location="Balance!A1" display="BALANCE Content"/>
    <hyperlink ref="A78" location="CashFlow!A1" display="CASH FLOW Content"/>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R208"/>
  <sheetViews>
    <sheetView showGridLines="0" tabSelected="1" zoomScale="85" zoomScaleNormal="85" workbookViewId="0">
      <selection activeCell="O16" sqref="O16"/>
    </sheetView>
  </sheetViews>
  <sheetFormatPr baseColWidth="10" defaultRowHeight="14.4" customHeight="1" x14ac:dyDescent="0.3"/>
  <cols>
    <col min="1" max="1" width="2.77734375" customWidth="1"/>
    <col min="2" max="2" width="23.88671875" bestFit="1" customWidth="1"/>
    <col min="3" max="3" width="13.33203125" bestFit="1" customWidth="1"/>
    <col min="4" max="4" width="19.44140625" bestFit="1" customWidth="1"/>
    <col min="5" max="5" width="10.77734375"/>
    <col min="6" max="6" width="11.44140625" bestFit="1" customWidth="1"/>
    <col min="7" max="10" width="10.77734375"/>
    <col min="11" max="11" width="2.77734375" customWidth="1"/>
    <col min="12" max="12" width="29.109375" bestFit="1" customWidth="1"/>
    <col min="13" max="13" width="11.33203125" customWidth="1"/>
    <col min="18" max="18" width="11.5546875" style="142"/>
  </cols>
  <sheetData>
    <row r="1" spans="1:18" ht="14.4" customHeight="1" thickTop="1" thickBot="1" x14ac:dyDescent="0.35">
      <c r="B1" s="120" t="s">
        <v>54</v>
      </c>
      <c r="C1" s="121" t="s">
        <v>55</v>
      </c>
      <c r="D1" s="121" t="s">
        <v>56</v>
      </c>
      <c r="E1" s="121" t="s">
        <v>57</v>
      </c>
      <c r="F1" s="121" t="s">
        <v>58</v>
      </c>
      <c r="G1" s="121" t="s">
        <v>59</v>
      </c>
      <c r="H1" s="121" t="s">
        <v>442</v>
      </c>
      <c r="I1" s="121" t="s">
        <v>443</v>
      </c>
      <c r="J1" s="121" t="s">
        <v>60</v>
      </c>
      <c r="L1" s="26" t="s">
        <v>61</v>
      </c>
    </row>
    <row r="2" spans="1:18" ht="14.4" customHeight="1" thickTop="1" thickBot="1" x14ac:dyDescent="0.35">
      <c r="A2" s="16"/>
      <c r="B2" s="16" t="s">
        <v>149</v>
      </c>
      <c r="C2" s="143" t="s">
        <v>150</v>
      </c>
      <c r="D2" s="79" t="s">
        <v>187</v>
      </c>
      <c r="E2" s="79" t="s">
        <v>188</v>
      </c>
      <c r="F2" s="122">
        <v>1</v>
      </c>
      <c r="G2" s="161">
        <v>42005</v>
      </c>
      <c r="H2" s="162">
        <f ca="1">(TODAY()-G2)/365</f>
        <v>11.641095890410959</v>
      </c>
      <c r="I2" s="172">
        <f ca="1">$M$45*H2^3+$N$45*H2^2+$O$45*H2+$P$45</f>
        <v>48.775509027390683</v>
      </c>
      <c r="J2" s="123">
        <f ca="1">I2*$M$58</f>
        <v>48.775509027390683</v>
      </c>
      <c r="L2" s="28">
        <f>'[1]Stock Master'!$C$19</f>
        <v>29.78</v>
      </c>
    </row>
    <row r="3" spans="1:18" ht="14.4" customHeight="1" thickTop="1" x14ac:dyDescent="0.3">
      <c r="A3" s="16"/>
      <c r="B3" s="16" t="s">
        <v>151</v>
      </c>
      <c r="C3" s="143" t="s">
        <v>150</v>
      </c>
      <c r="D3" s="79" t="s">
        <v>187</v>
      </c>
      <c r="E3" s="79" t="s">
        <v>188</v>
      </c>
      <c r="F3" s="122">
        <v>1</v>
      </c>
      <c r="G3" s="161">
        <v>42005</v>
      </c>
      <c r="H3" s="162">
        <f t="shared" ref="H3:H62" ca="1" si="0">(TODAY()-G3)/365</f>
        <v>11.641095890410959</v>
      </c>
      <c r="I3" s="172">
        <f t="shared" ref="I3:I18" ca="1" si="1">$M$45*H3^3+$N$45*H3^2+$O$45*H3+$P$45</f>
        <v>48.775509027390683</v>
      </c>
      <c r="J3" s="123">
        <f t="shared" ref="J3:J18" ca="1" si="2">I3*$M$58</f>
        <v>48.775509027390683</v>
      </c>
    </row>
    <row r="4" spans="1:18" ht="14.4" customHeight="1" x14ac:dyDescent="0.3">
      <c r="A4" s="16"/>
      <c r="B4" s="16" t="s">
        <v>152</v>
      </c>
      <c r="C4" s="143" t="s">
        <v>150</v>
      </c>
      <c r="D4" s="79" t="s">
        <v>187</v>
      </c>
      <c r="E4" s="79" t="s">
        <v>188</v>
      </c>
      <c r="F4" s="122">
        <v>1</v>
      </c>
      <c r="G4" s="161">
        <v>42370</v>
      </c>
      <c r="H4" s="162">
        <f t="shared" ca="1" si="0"/>
        <v>10.641095890410959</v>
      </c>
      <c r="I4" s="172">
        <f t="shared" ca="1" si="1"/>
        <v>51.727262692362523</v>
      </c>
      <c r="J4" s="123">
        <f t="shared" ca="1" si="2"/>
        <v>51.727262692362523</v>
      </c>
      <c r="L4" s="29" t="s">
        <v>63</v>
      </c>
      <c r="M4" s="30" t="s">
        <v>64</v>
      </c>
      <c r="N4" s="30" t="s">
        <v>65</v>
      </c>
      <c r="O4" s="31" t="s">
        <v>66</v>
      </c>
      <c r="P4" s="31" t="s">
        <v>67</v>
      </c>
      <c r="Q4" s="31" t="s">
        <v>68</v>
      </c>
      <c r="R4" s="31" t="s">
        <v>467</v>
      </c>
    </row>
    <row r="5" spans="1:18" ht="14.4" customHeight="1" x14ac:dyDescent="0.3">
      <c r="A5" s="16"/>
      <c r="B5" s="16" t="s">
        <v>153</v>
      </c>
      <c r="C5" s="143" t="s">
        <v>150</v>
      </c>
      <c r="D5" s="79" t="s">
        <v>187</v>
      </c>
      <c r="E5" s="79" t="s">
        <v>188</v>
      </c>
      <c r="F5" s="122">
        <v>1</v>
      </c>
      <c r="G5" s="161">
        <v>42005</v>
      </c>
      <c r="H5" s="162">
        <f t="shared" ca="1" si="0"/>
        <v>11.641095890410959</v>
      </c>
      <c r="I5" s="172">
        <f t="shared" ca="1" si="1"/>
        <v>48.775509027390683</v>
      </c>
      <c r="J5" s="123">
        <f t="shared" ca="1" si="2"/>
        <v>48.775509027390683</v>
      </c>
      <c r="L5" s="32" t="s">
        <v>69</v>
      </c>
      <c r="M5" s="152">
        <v>3574</v>
      </c>
      <c r="N5" s="152">
        <v>3568</v>
      </c>
      <c r="O5" s="152">
        <f ca="1">(SUM($J$2:$J$150)-SUM(J86:J89))*O19</f>
        <v>3681.5718819704693</v>
      </c>
      <c r="P5" s="152">
        <f ca="1">(SUM($J$2:$J$150)-SUM(J88:J89))*P19</f>
        <v>3748.3123503515517</v>
      </c>
      <c r="Q5" s="152">
        <f ca="1">(SUM($J$2:$J$150))*Q19</f>
        <v>3814.5101306337024</v>
      </c>
      <c r="R5" s="152">
        <f ca="1">(SUM($J$2:$J$150))*R19</f>
        <v>3795.2449279537345</v>
      </c>
    </row>
    <row r="6" spans="1:18" ht="14.4" customHeight="1" x14ac:dyDescent="0.3">
      <c r="A6" s="16"/>
      <c r="B6" s="16" t="s">
        <v>190</v>
      </c>
      <c r="C6" s="143" t="s">
        <v>150</v>
      </c>
      <c r="D6" s="79" t="s">
        <v>189</v>
      </c>
      <c r="E6" s="79" t="s">
        <v>188</v>
      </c>
      <c r="F6" s="122">
        <v>1</v>
      </c>
      <c r="G6" s="161">
        <v>43101</v>
      </c>
      <c r="H6" s="162">
        <f t="shared" ca="1" si="0"/>
        <v>8.6383561643835609</v>
      </c>
      <c r="I6" s="172">
        <f t="shared" ca="1" si="1"/>
        <v>57.677151995958226</v>
      </c>
      <c r="J6" s="123">
        <f t="shared" ca="1" si="2"/>
        <v>57.677151995958226</v>
      </c>
      <c r="L6" s="32" t="s">
        <v>70</v>
      </c>
      <c r="M6" s="152">
        <f>-Balance!F62/1000</f>
        <v>-946.33199999999999</v>
      </c>
      <c r="N6" s="152">
        <f>-Balance!G62/1000</f>
        <v>-1036.578</v>
      </c>
      <c r="O6" s="152">
        <f>-Balance!H62/1000</f>
        <v>-1029.38275</v>
      </c>
      <c r="P6" s="152">
        <f>-Balance!I62/1000</f>
        <v>-1048.9875</v>
      </c>
      <c r="Q6" s="152">
        <f>-Balance!J62/1000</f>
        <v>-990.59225000000004</v>
      </c>
      <c r="R6" s="152">
        <f>-Balance!K62/1000</f>
        <v>-932.197</v>
      </c>
    </row>
    <row r="7" spans="1:18" ht="14.4" customHeight="1" x14ac:dyDescent="0.3">
      <c r="A7" s="16"/>
      <c r="B7" s="16" t="s">
        <v>191</v>
      </c>
      <c r="C7" s="143" t="s">
        <v>150</v>
      </c>
      <c r="D7" s="79" t="s">
        <v>189</v>
      </c>
      <c r="E7" s="79" t="s">
        <v>188</v>
      </c>
      <c r="F7" s="122">
        <v>1</v>
      </c>
      <c r="G7" s="161">
        <v>42736</v>
      </c>
      <c r="H7" s="162">
        <f t="shared" ca="1" si="0"/>
        <v>9.6383561643835609</v>
      </c>
      <c r="I7" s="172">
        <f t="shared" ca="1" si="1"/>
        <v>54.701490783365855</v>
      </c>
      <c r="J7" s="123">
        <f t="shared" ca="1" si="2"/>
        <v>54.701490783365855</v>
      </c>
      <c r="L7" s="34" t="s">
        <v>71</v>
      </c>
      <c r="M7" s="152">
        <f>(Balance!F4+Balance!F5+Balance!F24)/1000</f>
        <v>409.43200000000002</v>
      </c>
      <c r="N7" s="152">
        <f>(Balance!G4+Balance!G5+Balance!G24)/1000</f>
        <v>565.28200000000004</v>
      </c>
      <c r="O7" s="152">
        <f>(Balance!H4+Balance!H5+Balance!H24)/1000</f>
        <v>620.48273879999988</v>
      </c>
      <c r="P7" s="152">
        <f>(Balance!I4+Balance!I5+Balance!I24)/1000</f>
        <v>689.62529594949979</v>
      </c>
      <c r="Q7" s="152">
        <f>(Balance!J4+Balance!J5+Balance!J24)/1000</f>
        <v>781.90509326239999</v>
      </c>
      <c r="R7" s="152">
        <f>(Balance!K4+Balance!K5+Balance!K24)/1000</f>
        <v>788.3074999196474</v>
      </c>
    </row>
    <row r="8" spans="1:18" ht="14.4" customHeight="1" x14ac:dyDescent="0.3">
      <c r="A8" s="16"/>
      <c r="B8" s="16" t="s">
        <v>192</v>
      </c>
      <c r="C8" s="143" t="s">
        <v>150</v>
      </c>
      <c r="D8" s="79" t="s">
        <v>189</v>
      </c>
      <c r="E8" s="79" t="s">
        <v>188</v>
      </c>
      <c r="F8" s="122">
        <v>1</v>
      </c>
      <c r="G8" s="161">
        <v>42736</v>
      </c>
      <c r="H8" s="162">
        <f t="shared" ca="1" si="0"/>
        <v>9.6383561643835609</v>
      </c>
      <c r="I8" s="172">
        <f t="shared" ca="1" si="1"/>
        <v>54.701490783365855</v>
      </c>
      <c r="J8" s="123">
        <f t="shared" ca="1" si="2"/>
        <v>54.701490783365855</v>
      </c>
      <c r="L8" s="32" t="s">
        <v>72</v>
      </c>
      <c r="M8" s="152">
        <f>Balance!F70/1000</f>
        <v>115.876</v>
      </c>
      <c r="N8" s="152">
        <f>Balance!G70/1000</f>
        <v>118.744</v>
      </c>
      <c r="O8" s="152">
        <f>Balance!H70/1000</f>
        <v>107.794</v>
      </c>
      <c r="P8" s="152">
        <f>Balance!I70/1000</f>
        <v>107.794</v>
      </c>
      <c r="Q8" s="152">
        <f>Balance!J70/1000</f>
        <v>107.794</v>
      </c>
      <c r="R8" s="152">
        <f>Balance!K70/1000</f>
        <v>107.794</v>
      </c>
    </row>
    <row r="9" spans="1:18" ht="14.4" customHeight="1" x14ac:dyDescent="0.3">
      <c r="A9" s="16"/>
      <c r="B9" s="16" t="s">
        <v>193</v>
      </c>
      <c r="C9" s="143" t="s">
        <v>150</v>
      </c>
      <c r="D9" s="79" t="s">
        <v>189</v>
      </c>
      <c r="E9" s="79" t="s">
        <v>188</v>
      </c>
      <c r="F9" s="122">
        <v>1</v>
      </c>
      <c r="G9" s="161">
        <v>42736</v>
      </c>
      <c r="H9" s="162">
        <f t="shared" ca="1" si="0"/>
        <v>9.6383561643835609</v>
      </c>
      <c r="I9" s="172">
        <f t="shared" ca="1" si="1"/>
        <v>54.701490783365855</v>
      </c>
      <c r="J9" s="123">
        <f t="shared" ca="1" si="2"/>
        <v>54.701490783365855</v>
      </c>
      <c r="L9" s="35" t="s">
        <v>73</v>
      </c>
      <c r="M9" s="152"/>
      <c r="N9" s="152">
        <f>N21*2</f>
        <v>272</v>
      </c>
      <c r="O9" s="152">
        <f>O21*2</f>
        <v>272</v>
      </c>
      <c r="P9" s="152">
        <f>P21*2</f>
        <v>272</v>
      </c>
      <c r="Q9" s="152">
        <f>Q21*2</f>
        <v>272</v>
      </c>
      <c r="R9" s="152">
        <f>R21*2</f>
        <v>272</v>
      </c>
    </row>
    <row r="10" spans="1:18" ht="14.4" customHeight="1" x14ac:dyDescent="0.3">
      <c r="A10" s="16"/>
      <c r="B10" s="16" t="s">
        <v>194</v>
      </c>
      <c r="C10" s="143" t="s">
        <v>150</v>
      </c>
      <c r="D10" s="79" t="s">
        <v>189</v>
      </c>
      <c r="E10" s="79" t="s">
        <v>188</v>
      </c>
      <c r="F10" s="122">
        <v>1</v>
      </c>
      <c r="G10" s="161">
        <v>42370</v>
      </c>
      <c r="H10" s="162">
        <f t="shared" ca="1" si="0"/>
        <v>10.641095890410959</v>
      </c>
      <c r="I10" s="172">
        <f t="shared" ca="1" si="1"/>
        <v>51.727262692362523</v>
      </c>
      <c r="J10" s="123">
        <f t="shared" ca="1" si="2"/>
        <v>51.727262692362523</v>
      </c>
      <c r="L10" s="32" t="s">
        <v>74</v>
      </c>
      <c r="M10" s="152">
        <f t="shared" ref="M10:R10" si="3">SUM(M5:M9)</f>
        <v>3152.9760000000006</v>
      </c>
      <c r="N10" s="152">
        <f t="shared" si="3"/>
        <v>3487.4480000000003</v>
      </c>
      <c r="O10" s="152">
        <f t="shared" ca="1" si="3"/>
        <v>3652.4658707704689</v>
      </c>
      <c r="P10" s="152">
        <f t="shared" ca="1" si="3"/>
        <v>3768.7441463010509</v>
      </c>
      <c r="Q10" s="152">
        <f t="shared" ca="1" si="3"/>
        <v>3985.6169738961021</v>
      </c>
      <c r="R10" s="152">
        <f t="shared" ca="1" si="3"/>
        <v>4031.1494278733817</v>
      </c>
    </row>
    <row r="11" spans="1:18" ht="14.4" customHeight="1" x14ac:dyDescent="0.3">
      <c r="A11" s="16"/>
      <c r="B11" s="16" t="s">
        <v>195</v>
      </c>
      <c r="C11" s="143" t="s">
        <v>150</v>
      </c>
      <c r="D11" s="79" t="s">
        <v>189</v>
      </c>
      <c r="E11" s="79" t="s">
        <v>188</v>
      </c>
      <c r="F11" s="122">
        <v>1</v>
      </c>
      <c r="G11" s="161">
        <v>42736</v>
      </c>
      <c r="H11" s="162">
        <f t="shared" ca="1" si="0"/>
        <v>9.6383561643835609</v>
      </c>
      <c r="I11" s="172">
        <f t="shared" ca="1" si="1"/>
        <v>54.701490783365855</v>
      </c>
      <c r="J11" s="123">
        <f t="shared" ca="1" si="2"/>
        <v>54.701490783365855</v>
      </c>
      <c r="L11" s="32"/>
      <c r="M11" s="152"/>
      <c r="N11" s="152"/>
      <c r="O11" s="152"/>
      <c r="P11" s="152"/>
      <c r="Q11" s="152"/>
      <c r="R11" s="152"/>
    </row>
    <row r="12" spans="1:18" ht="14.4" customHeight="1" x14ac:dyDescent="0.3">
      <c r="A12" s="16"/>
      <c r="B12" s="16" t="s">
        <v>196</v>
      </c>
      <c r="C12" s="143" t="s">
        <v>150</v>
      </c>
      <c r="D12" s="79" t="s">
        <v>189</v>
      </c>
      <c r="E12" s="79" t="s">
        <v>188</v>
      </c>
      <c r="F12" s="122">
        <v>1</v>
      </c>
      <c r="G12" s="161">
        <v>42370</v>
      </c>
      <c r="H12" s="162">
        <f t="shared" ca="1" si="0"/>
        <v>10.641095890410959</v>
      </c>
      <c r="I12" s="172">
        <f t="shared" ca="1" si="1"/>
        <v>51.727262692362523</v>
      </c>
      <c r="J12" s="123">
        <f t="shared" ca="1" si="2"/>
        <v>51.727262692362523</v>
      </c>
      <c r="L12" s="32" t="s">
        <v>75</v>
      </c>
      <c r="M12" s="152">
        <f>'P&amp;L'!F40/1000000</f>
        <v>111.309335</v>
      </c>
      <c r="N12" s="152">
        <f>'P&amp;L'!G40/1000000</f>
        <v>111.285544</v>
      </c>
      <c r="O12" s="152">
        <f>'P&amp;L'!H40/1000000</f>
        <v>111.285544</v>
      </c>
      <c r="P12" s="152">
        <f>'P&amp;L'!I40/1000000</f>
        <v>111.285544</v>
      </c>
      <c r="Q12" s="152">
        <f>'P&amp;L'!J40/1000000</f>
        <v>111.285544</v>
      </c>
      <c r="R12" s="152">
        <f>'P&amp;L'!K40/1000000</f>
        <v>111.285544</v>
      </c>
    </row>
    <row r="13" spans="1:18" ht="14.4" customHeight="1" x14ac:dyDescent="0.3">
      <c r="A13" s="16"/>
      <c r="B13" s="16" t="s">
        <v>197</v>
      </c>
      <c r="C13" s="143" t="s">
        <v>150</v>
      </c>
      <c r="D13" s="79" t="s">
        <v>189</v>
      </c>
      <c r="E13" s="79" t="s">
        <v>188</v>
      </c>
      <c r="F13" s="122">
        <v>1</v>
      </c>
      <c r="G13" s="161">
        <v>42370</v>
      </c>
      <c r="H13" s="162">
        <f t="shared" ca="1" si="0"/>
        <v>10.641095890410959</v>
      </c>
      <c r="I13" s="172">
        <f t="shared" ca="1" si="1"/>
        <v>51.727262692362523</v>
      </c>
      <c r="J13" s="123">
        <f t="shared" ca="1" si="2"/>
        <v>51.727262692362523</v>
      </c>
      <c r="L13" s="32"/>
      <c r="M13" s="33"/>
      <c r="N13" s="33"/>
      <c r="O13" s="33"/>
      <c r="P13" s="33"/>
      <c r="Q13" s="33"/>
      <c r="R13" s="33"/>
    </row>
    <row r="14" spans="1:18" ht="14.4" customHeight="1" x14ac:dyDescent="0.3">
      <c r="A14" s="16"/>
      <c r="B14" s="16" t="s">
        <v>198</v>
      </c>
      <c r="C14" s="143" t="s">
        <v>150</v>
      </c>
      <c r="D14" s="79" t="s">
        <v>189</v>
      </c>
      <c r="E14" s="79" t="s">
        <v>188</v>
      </c>
      <c r="F14" s="122">
        <v>1</v>
      </c>
      <c r="G14" s="161">
        <v>43101</v>
      </c>
      <c r="H14" s="162">
        <f t="shared" ca="1" si="0"/>
        <v>8.6383561643835609</v>
      </c>
      <c r="I14" s="172">
        <f t="shared" ca="1" si="1"/>
        <v>57.677151995958226</v>
      </c>
      <c r="J14" s="123">
        <f t="shared" ca="1" si="2"/>
        <v>57.677151995958226</v>
      </c>
      <c r="L14" s="32" t="s">
        <v>76</v>
      </c>
      <c r="M14" s="33">
        <f t="shared" ref="M14:R14" si="4">M10/M12</f>
        <v>28.326249545916347</v>
      </c>
      <c r="N14" s="33">
        <f t="shared" si="4"/>
        <v>31.337834858407128</v>
      </c>
      <c r="O14" s="33">
        <f t="shared" ca="1" si="4"/>
        <v>32.820667801834787</v>
      </c>
      <c r="P14" s="33">
        <f t="shared" ca="1" si="4"/>
        <v>33.865531953557692</v>
      </c>
      <c r="Q14" s="33">
        <f t="shared" ca="1" si="4"/>
        <v>35.814327994803186</v>
      </c>
      <c r="R14" s="33">
        <f t="shared" ca="1" si="4"/>
        <v>36.223477758022028</v>
      </c>
    </row>
    <row r="15" spans="1:18" ht="14.4" customHeight="1" x14ac:dyDescent="0.3">
      <c r="A15" s="16"/>
      <c r="B15" s="16" t="s">
        <v>199</v>
      </c>
      <c r="C15" s="143" t="s">
        <v>150</v>
      </c>
      <c r="D15" s="79" t="s">
        <v>189</v>
      </c>
      <c r="E15" s="79" t="s">
        <v>188</v>
      </c>
      <c r="F15" s="122">
        <v>1</v>
      </c>
      <c r="G15" s="161">
        <v>43101</v>
      </c>
      <c r="H15" s="162">
        <f t="shared" ca="1" si="0"/>
        <v>8.6383561643835609</v>
      </c>
      <c r="I15" s="172">
        <f t="shared" ca="1" si="1"/>
        <v>57.677151995958226</v>
      </c>
      <c r="J15" s="123">
        <f t="shared" ca="1" si="2"/>
        <v>57.677151995958226</v>
      </c>
      <c r="L15" s="32" t="s">
        <v>77</v>
      </c>
      <c r="M15" s="37">
        <v>0.37</v>
      </c>
      <c r="N15" s="37">
        <v>0.5</v>
      </c>
      <c r="O15" s="199">
        <v>0.9</v>
      </c>
      <c r="P15" s="181">
        <f>-(CashFlow!I60/('P&amp;L'!I40/1000))</f>
        <v>0.65289457901198711</v>
      </c>
      <c r="Q15" s="181">
        <f>-(CashFlow!J60/('P&amp;L'!J40/1000))</f>
        <v>0.57330254457398266</v>
      </c>
      <c r="R15" s="181">
        <f>-(CashFlow!K60/('P&amp;L'!K40/1000))</f>
        <v>1.4025189368926494</v>
      </c>
    </row>
    <row r="16" spans="1:18" ht="14.4" customHeight="1" x14ac:dyDescent="0.3">
      <c r="A16" s="16"/>
      <c r="B16" s="16" t="s">
        <v>200</v>
      </c>
      <c r="C16" s="143" t="s">
        <v>150</v>
      </c>
      <c r="D16" s="79" t="s">
        <v>189</v>
      </c>
      <c r="E16" s="79" t="s">
        <v>188</v>
      </c>
      <c r="F16" s="122">
        <v>1</v>
      </c>
      <c r="G16" s="161">
        <v>43466</v>
      </c>
      <c r="H16" s="162">
        <f t="shared" ca="1" si="0"/>
        <v>7.6383561643835618</v>
      </c>
      <c r="I16" s="172">
        <f t="shared" ca="1" si="1"/>
        <v>60.657577418161381</v>
      </c>
      <c r="J16" s="123">
        <f t="shared" ca="1" si="2"/>
        <v>60.657577418161381</v>
      </c>
      <c r="L16" s="38" t="s">
        <v>78</v>
      </c>
      <c r="M16" s="39">
        <f>SUM($L$2/(M14))</f>
        <v>1.0513216707960986</v>
      </c>
      <c r="N16" s="39">
        <f>SUM($L$2/(N14))</f>
        <v>0.95028900798520866</v>
      </c>
      <c r="O16" s="39">
        <f ca="1">SUM($L$2/(O14))</f>
        <v>0.90735509039018392</v>
      </c>
      <c r="P16" s="39">
        <f ca="1">SUM($L$2/(P14+P15))</f>
        <v>0.86272762090998678</v>
      </c>
      <c r="Q16" s="39">
        <f ca="1">SUM($L$2/(Q14+Q15))</f>
        <v>0.81840998049524916</v>
      </c>
      <c r="R16" s="39">
        <f ca="1">SUM($L$2/(R14+R15))</f>
        <v>0.79147405028143492</v>
      </c>
    </row>
    <row r="17" spans="1:18" ht="14.4" customHeight="1" x14ac:dyDescent="0.3">
      <c r="A17" s="16"/>
      <c r="B17" s="16" t="s">
        <v>201</v>
      </c>
      <c r="C17" s="143" t="s">
        <v>150</v>
      </c>
      <c r="D17" s="79" t="s">
        <v>189</v>
      </c>
      <c r="E17" s="79" t="s">
        <v>188</v>
      </c>
      <c r="F17" s="122">
        <v>1</v>
      </c>
      <c r="G17" s="161">
        <v>43466</v>
      </c>
      <c r="H17" s="162">
        <f t="shared" ca="1" si="0"/>
        <v>7.6383561643835618</v>
      </c>
      <c r="I17" s="172">
        <f t="shared" ca="1" si="1"/>
        <v>60.657577418161381</v>
      </c>
      <c r="J17" s="123">
        <f t="shared" ca="1" si="2"/>
        <v>60.657577418161381</v>
      </c>
      <c r="L17" s="23"/>
    </row>
    <row r="18" spans="1:18" ht="14.4" customHeight="1" thickBot="1" x14ac:dyDescent="0.35">
      <c r="B18" s="16" t="s">
        <v>202</v>
      </c>
      <c r="C18" s="143" t="s">
        <v>150</v>
      </c>
      <c r="D18" s="79" t="s">
        <v>189</v>
      </c>
      <c r="E18" s="79" t="s">
        <v>188</v>
      </c>
      <c r="F18" s="122">
        <v>1</v>
      </c>
      <c r="G18" s="161">
        <v>43466</v>
      </c>
      <c r="H18" s="162">
        <f t="shared" ca="1" si="0"/>
        <v>7.6383561643835618</v>
      </c>
      <c r="I18" s="172">
        <f t="shared" ca="1" si="1"/>
        <v>60.657577418161381</v>
      </c>
      <c r="J18" s="123">
        <f t="shared" ca="1" si="2"/>
        <v>60.657577418161381</v>
      </c>
      <c r="L18" s="23"/>
    </row>
    <row r="19" spans="1:18" ht="14.4" customHeight="1" x14ac:dyDescent="0.3">
      <c r="B19" s="16" t="s">
        <v>154</v>
      </c>
      <c r="C19" s="143" t="s">
        <v>155</v>
      </c>
      <c r="D19" s="79" t="s">
        <v>203</v>
      </c>
      <c r="E19" s="79" t="s">
        <v>62</v>
      </c>
      <c r="F19" s="122">
        <v>1</v>
      </c>
      <c r="G19" s="161">
        <v>41640</v>
      </c>
      <c r="H19" s="162">
        <f t="shared" ca="1" si="0"/>
        <v>12.641095890410959</v>
      </c>
      <c r="I19" s="172">
        <f ca="1">$M$44*H19^3+$N$44*H19^2+$O$44*H19+$P$44</f>
        <v>41.563249516341223</v>
      </c>
      <c r="J19" s="123">
        <f ca="1">I19*$M$54</f>
        <v>44.472676982485112</v>
      </c>
      <c r="L19" s="40" t="s">
        <v>79</v>
      </c>
      <c r="M19" s="41"/>
      <c r="N19" s="180"/>
      <c r="O19" s="42">
        <v>1</v>
      </c>
      <c r="P19" s="42">
        <v>0.995</v>
      </c>
      <c r="Q19" s="42">
        <v>0.99</v>
      </c>
      <c r="R19" s="43">
        <v>0.98499999999999999</v>
      </c>
    </row>
    <row r="20" spans="1:18" ht="14.4" customHeight="1" x14ac:dyDescent="0.3">
      <c r="A20" s="16"/>
      <c r="B20" s="16" t="s">
        <v>156</v>
      </c>
      <c r="C20" s="143" t="s">
        <v>155</v>
      </c>
      <c r="D20" s="79" t="s">
        <v>203</v>
      </c>
      <c r="E20" s="79" t="s">
        <v>62</v>
      </c>
      <c r="F20" s="122">
        <v>1</v>
      </c>
      <c r="G20" s="161">
        <v>41640</v>
      </c>
      <c r="H20" s="162">
        <f t="shared" ca="1" si="0"/>
        <v>12.641095890410959</v>
      </c>
      <c r="I20" s="172">
        <f t="shared" ref="I20:I32" ca="1" si="5">$M$44*H20^3+$N$44*H20^2+$O$44*H20+$P$44</f>
        <v>41.563249516341223</v>
      </c>
      <c r="J20" s="123">
        <f ca="1">I20*$M$54</f>
        <v>44.472676982485112</v>
      </c>
      <c r="L20" s="45" t="s">
        <v>80</v>
      </c>
      <c r="M20" s="46"/>
      <c r="N20" s="46">
        <f>N5/M5-1</f>
        <v>-1.6787912702853625E-3</v>
      </c>
      <c r="O20" s="46">
        <f ca="1">O5/N5-1</f>
        <v>3.183068440876391E-2</v>
      </c>
      <c r="P20" s="46">
        <f ca="1">P5/O5-1</f>
        <v>1.8128253507130099E-2</v>
      </c>
      <c r="Q20" s="46">
        <f ca="1">Q5/P5-1</f>
        <v>1.7660689423586007E-2</v>
      </c>
      <c r="R20" s="47">
        <f ca="1">R5/Q5-1</f>
        <v>-5.050505050504972E-3</v>
      </c>
    </row>
    <row r="21" spans="1:18" ht="14.4" customHeight="1" x14ac:dyDescent="0.3">
      <c r="B21" s="16" t="s">
        <v>204</v>
      </c>
      <c r="C21" s="143" t="s">
        <v>155</v>
      </c>
      <c r="D21" s="79" t="s">
        <v>211</v>
      </c>
      <c r="E21" s="79" t="s">
        <v>212</v>
      </c>
      <c r="F21" s="122">
        <v>1</v>
      </c>
      <c r="G21" s="161">
        <v>40544</v>
      </c>
      <c r="H21" s="162">
        <f t="shared" ca="1" si="0"/>
        <v>15.643835616438356</v>
      </c>
      <c r="I21" s="172">
        <f t="shared" ca="1" si="5"/>
        <v>32.839268608679973</v>
      </c>
      <c r="J21" s="123">
        <f t="shared" ref="J21:J22" ca="1" si="6">I21*$M$53</f>
        <v>35.466410097374371</v>
      </c>
      <c r="L21" s="48" t="s">
        <v>81</v>
      </c>
      <c r="M21" s="6"/>
      <c r="N21" s="6">
        <v>136</v>
      </c>
      <c r="O21" s="6">
        <v>136</v>
      </c>
      <c r="P21" s="6">
        <v>136</v>
      </c>
      <c r="Q21" s="6">
        <v>136</v>
      </c>
      <c r="R21" s="7">
        <v>136</v>
      </c>
    </row>
    <row r="22" spans="1:18" ht="14.4" customHeight="1" x14ac:dyDescent="0.3">
      <c r="B22" s="16" t="s">
        <v>205</v>
      </c>
      <c r="C22" s="143" t="s">
        <v>155</v>
      </c>
      <c r="D22" s="79" t="s">
        <v>211</v>
      </c>
      <c r="E22" s="79" t="s">
        <v>212</v>
      </c>
      <c r="F22" s="122">
        <v>1</v>
      </c>
      <c r="G22" s="161">
        <v>40179</v>
      </c>
      <c r="H22" s="162">
        <f t="shared" ca="1" si="0"/>
        <v>16.643835616438356</v>
      </c>
      <c r="I22" s="172">
        <f t="shared" ca="1" si="5"/>
        <v>30.078012036524626</v>
      </c>
      <c r="J22" s="123">
        <f t="shared" ca="1" si="6"/>
        <v>32.484252999446596</v>
      </c>
      <c r="L22" s="48" t="s">
        <v>82</v>
      </c>
      <c r="M22" s="6"/>
      <c r="N22" s="6">
        <v>141</v>
      </c>
      <c r="O22" s="6">
        <v>141</v>
      </c>
      <c r="P22" s="6">
        <v>141</v>
      </c>
      <c r="Q22" s="6">
        <v>141</v>
      </c>
      <c r="R22" s="7">
        <v>141</v>
      </c>
    </row>
    <row r="23" spans="1:18" ht="14.4" customHeight="1" thickBot="1" x14ac:dyDescent="0.35">
      <c r="B23" s="16" t="s">
        <v>206</v>
      </c>
      <c r="C23" s="143" t="s">
        <v>155</v>
      </c>
      <c r="D23" s="79" t="s">
        <v>213</v>
      </c>
      <c r="E23" s="79" t="s">
        <v>62</v>
      </c>
      <c r="F23" s="122">
        <v>1</v>
      </c>
      <c r="G23" s="161">
        <v>40179</v>
      </c>
      <c r="H23" s="162">
        <f t="shared" ca="1" si="0"/>
        <v>16.643835616438356</v>
      </c>
      <c r="I23" s="172">
        <f t="shared" ca="1" si="5"/>
        <v>30.078012036524626</v>
      </c>
      <c r="J23" s="123">
        <f ca="1">I23*$M$54</f>
        <v>32.18347287908135</v>
      </c>
      <c r="L23" s="49" t="s">
        <v>84</v>
      </c>
      <c r="M23" s="50"/>
      <c r="N23" s="50">
        <f>(N21/N22)</f>
        <v>0.96453900709219853</v>
      </c>
      <c r="O23" s="50">
        <f>(O21/O22)</f>
        <v>0.96453900709219853</v>
      </c>
      <c r="P23" s="50">
        <f>(P21/P22)</f>
        <v>0.96453900709219853</v>
      </c>
      <c r="Q23" s="50">
        <f>(Q21/Q22)</f>
        <v>0.96453900709219853</v>
      </c>
      <c r="R23" s="135">
        <f>(R21/R22)</f>
        <v>0.96453900709219853</v>
      </c>
    </row>
    <row r="24" spans="1:18" ht="14.4" customHeight="1" thickBot="1" x14ac:dyDescent="0.35">
      <c r="A24" s="16"/>
      <c r="B24" s="16" t="s">
        <v>207</v>
      </c>
      <c r="C24" s="143" t="s">
        <v>155</v>
      </c>
      <c r="D24" s="79" t="s">
        <v>213</v>
      </c>
      <c r="E24" s="79" t="s">
        <v>62</v>
      </c>
      <c r="F24" s="122">
        <v>1</v>
      </c>
      <c r="G24" s="161">
        <v>39448</v>
      </c>
      <c r="H24" s="162">
        <f t="shared" ca="1" si="0"/>
        <v>18.646575342465752</v>
      </c>
      <c r="I24" s="172">
        <f t="shared" ca="1" si="5"/>
        <v>24.836702180365378</v>
      </c>
      <c r="J24" s="123">
        <f ca="1">I24*$M$54</f>
        <v>26.575271332990958</v>
      </c>
      <c r="L24" s="23"/>
      <c r="M24" s="51"/>
      <c r="N24" s="51"/>
      <c r="O24" s="51"/>
      <c r="P24" s="51"/>
      <c r="Q24" s="51"/>
      <c r="R24" s="51"/>
    </row>
    <row r="25" spans="1:18" ht="14.4" customHeight="1" x14ac:dyDescent="0.3">
      <c r="A25" s="16"/>
      <c r="B25" s="16" t="s">
        <v>208</v>
      </c>
      <c r="C25" s="143" t="s">
        <v>155</v>
      </c>
      <c r="D25" s="79" t="s">
        <v>214</v>
      </c>
      <c r="E25" s="79" t="s">
        <v>212</v>
      </c>
      <c r="F25" s="122">
        <v>1</v>
      </c>
      <c r="G25" s="161">
        <v>39814</v>
      </c>
      <c r="H25" s="162">
        <f t="shared" ca="1" si="0"/>
        <v>17.643835616438356</v>
      </c>
      <c r="I25" s="172">
        <f t="shared" ca="1" si="5"/>
        <v>27.408777534384484</v>
      </c>
      <c r="J25" s="123">
        <f t="shared" ref="J25:J30" ca="1" si="7">I25*$M$53</f>
        <v>29.601479737135243</v>
      </c>
      <c r="L25" s="52" t="s">
        <v>439</v>
      </c>
      <c r="M25" s="53"/>
      <c r="N25" s="53">
        <v>36759</v>
      </c>
      <c r="O25" s="54">
        <f>33087*1.05</f>
        <v>34741.35</v>
      </c>
      <c r="P25" s="54">
        <f>O25*0.98</f>
        <v>34046.523000000001</v>
      </c>
      <c r="Q25" s="54">
        <f t="shared" ref="Q25:Q27" si="8">P25*1.05</f>
        <v>35748.849150000002</v>
      </c>
      <c r="R25" s="55">
        <f>Q25*1.02</f>
        <v>36463.826133000002</v>
      </c>
    </row>
    <row r="26" spans="1:18" ht="14.4" customHeight="1" x14ac:dyDescent="0.3">
      <c r="A26" s="16"/>
      <c r="B26" s="16" t="s">
        <v>209</v>
      </c>
      <c r="C26" s="143" t="s">
        <v>155</v>
      </c>
      <c r="D26" s="79" t="s">
        <v>214</v>
      </c>
      <c r="E26" s="79" t="s">
        <v>212</v>
      </c>
      <c r="F26" s="122">
        <v>1</v>
      </c>
      <c r="G26" s="161">
        <v>40179</v>
      </c>
      <c r="H26" s="162">
        <f t="shared" ca="1" si="0"/>
        <v>16.643835616438356</v>
      </c>
      <c r="I26" s="172">
        <f t="shared" ca="1" si="5"/>
        <v>30.078012036524626</v>
      </c>
      <c r="J26" s="123">
        <f t="shared" ca="1" si="7"/>
        <v>32.484252999446596</v>
      </c>
      <c r="L26" s="56" t="s">
        <v>440</v>
      </c>
      <c r="M26" s="57"/>
      <c r="N26" s="57">
        <v>20400</v>
      </c>
      <c r="O26" s="132">
        <f>21711*1.05</f>
        <v>22796.55</v>
      </c>
      <c r="P26" s="132">
        <f>O26*0.95</f>
        <v>21656.7225</v>
      </c>
      <c r="Q26" s="132">
        <f t="shared" si="8"/>
        <v>22739.558625000001</v>
      </c>
      <c r="R26" s="133">
        <f>Q26*1.02</f>
        <v>23194.349797500003</v>
      </c>
    </row>
    <row r="27" spans="1:18" ht="14.4" customHeight="1" x14ac:dyDescent="0.3">
      <c r="A27" s="16"/>
      <c r="B27" s="16" t="s">
        <v>210</v>
      </c>
      <c r="C27" s="143" t="s">
        <v>155</v>
      </c>
      <c r="D27" s="79" t="s">
        <v>214</v>
      </c>
      <c r="E27" s="79" t="s">
        <v>212</v>
      </c>
      <c r="F27" s="122">
        <v>1</v>
      </c>
      <c r="G27" s="161">
        <v>40179</v>
      </c>
      <c r="H27" s="162">
        <f t="shared" ca="1" si="0"/>
        <v>16.643835616438356</v>
      </c>
      <c r="I27" s="172">
        <f t="shared" ca="1" si="5"/>
        <v>30.078012036524626</v>
      </c>
      <c r="J27" s="123">
        <f t="shared" ca="1" si="7"/>
        <v>32.484252999446596</v>
      </c>
      <c r="L27" s="56" t="s">
        <v>441</v>
      </c>
      <c r="M27" s="57"/>
      <c r="N27" s="57">
        <v>20270</v>
      </c>
      <c r="O27" s="132">
        <f>19748*1.05</f>
        <v>20735.400000000001</v>
      </c>
      <c r="P27" s="132">
        <f>O27*0.95</f>
        <v>19698.63</v>
      </c>
      <c r="Q27" s="132">
        <f t="shared" si="8"/>
        <v>20683.561500000003</v>
      </c>
      <c r="R27" s="133">
        <f>Q27*1.02</f>
        <v>21097.232730000003</v>
      </c>
    </row>
    <row r="28" spans="1:18" ht="14.4" customHeight="1" thickBot="1" x14ac:dyDescent="0.35">
      <c r="A28" s="16"/>
      <c r="B28" s="16" t="s">
        <v>216</v>
      </c>
      <c r="C28" s="143" t="s">
        <v>155</v>
      </c>
      <c r="D28" s="79" t="s">
        <v>214</v>
      </c>
      <c r="E28" s="79" t="s">
        <v>212</v>
      </c>
      <c r="F28" s="122">
        <v>1</v>
      </c>
      <c r="G28" s="161">
        <v>40179</v>
      </c>
      <c r="H28" s="162">
        <f t="shared" ca="1" si="0"/>
        <v>16.643835616438356</v>
      </c>
      <c r="I28" s="172">
        <f t="shared" ca="1" si="5"/>
        <v>30.078012036524626</v>
      </c>
      <c r="J28" s="123">
        <f t="shared" ca="1" si="7"/>
        <v>32.484252999446596</v>
      </c>
      <c r="L28" s="58" t="s">
        <v>86</v>
      </c>
      <c r="M28" s="59"/>
      <c r="N28" s="128"/>
      <c r="O28" s="128"/>
      <c r="P28" s="128"/>
      <c r="Q28" s="128"/>
      <c r="R28" s="129"/>
    </row>
    <row r="29" spans="1:18" ht="14.4" customHeight="1" x14ac:dyDescent="0.3">
      <c r="B29" s="16" t="s">
        <v>218</v>
      </c>
      <c r="C29" s="143" t="s">
        <v>155</v>
      </c>
      <c r="D29" s="79" t="s">
        <v>217</v>
      </c>
      <c r="E29" s="79" t="s">
        <v>212</v>
      </c>
      <c r="F29" s="122">
        <v>1</v>
      </c>
      <c r="G29" s="161">
        <v>40179</v>
      </c>
      <c r="H29" s="162">
        <f t="shared" ca="1" si="0"/>
        <v>16.643835616438356</v>
      </c>
      <c r="I29" s="172">
        <f t="shared" ca="1" si="5"/>
        <v>30.078012036524626</v>
      </c>
      <c r="J29" s="123">
        <f t="shared" ca="1" si="7"/>
        <v>32.484252999446596</v>
      </c>
      <c r="L29" s="23"/>
      <c r="M29" s="61"/>
      <c r="N29" s="61"/>
      <c r="O29" s="61"/>
      <c r="P29" s="61"/>
      <c r="Q29" s="61"/>
      <c r="R29" s="61"/>
    </row>
    <row r="30" spans="1:18" ht="14.4" customHeight="1" thickBot="1" x14ac:dyDescent="0.35">
      <c r="A30" s="16"/>
      <c r="B30" s="16" t="s">
        <v>215</v>
      </c>
      <c r="C30" s="143" t="s">
        <v>155</v>
      </c>
      <c r="D30" s="79" t="s">
        <v>214</v>
      </c>
      <c r="E30" s="79" t="s">
        <v>212</v>
      </c>
      <c r="F30" s="122">
        <v>1</v>
      </c>
      <c r="G30" s="161">
        <v>40179</v>
      </c>
      <c r="H30" s="162">
        <f t="shared" ca="1" si="0"/>
        <v>16.643835616438356</v>
      </c>
      <c r="I30" s="172">
        <f t="shared" ca="1" si="5"/>
        <v>30.078012036524626</v>
      </c>
      <c r="J30" s="123">
        <f t="shared" ca="1" si="7"/>
        <v>32.484252999446596</v>
      </c>
      <c r="L30" s="62" t="s">
        <v>88</v>
      </c>
      <c r="M30" s="6"/>
      <c r="N30" s="6"/>
      <c r="O30" s="6"/>
      <c r="P30" s="63" t="s">
        <v>89</v>
      </c>
      <c r="Q30" s="63"/>
      <c r="R30" s="63" t="s">
        <v>90</v>
      </c>
    </row>
    <row r="31" spans="1:18" ht="14.4" customHeight="1" x14ac:dyDescent="0.3">
      <c r="A31" s="16"/>
      <c r="B31" s="16" t="s">
        <v>219</v>
      </c>
      <c r="C31" s="143" t="s">
        <v>155</v>
      </c>
      <c r="D31" s="79" t="s">
        <v>189</v>
      </c>
      <c r="E31" s="79" t="s">
        <v>188</v>
      </c>
      <c r="F31" s="122">
        <v>1</v>
      </c>
      <c r="G31" s="161">
        <v>39083</v>
      </c>
      <c r="H31" s="162">
        <f t="shared" ca="1" si="0"/>
        <v>19.646575342465752</v>
      </c>
      <c r="I31" s="172">
        <f t="shared" ca="1" si="5"/>
        <v>22.387879579811958</v>
      </c>
      <c r="J31" s="123">
        <f t="shared" ref="J31" ca="1" si="9">I31*$M$58</f>
        <v>22.387879579811958</v>
      </c>
      <c r="L31" s="52" t="s">
        <v>92</v>
      </c>
      <c r="M31" s="64"/>
      <c r="N31" s="64"/>
      <c r="O31" s="64"/>
      <c r="P31" s="65">
        <f>$L$2*P12</f>
        <v>3314.08350032</v>
      </c>
      <c r="Q31" s="65"/>
      <c r="R31" s="66">
        <f>$L$2*R12</f>
        <v>3314.08350032</v>
      </c>
    </row>
    <row r="32" spans="1:18" ht="14.4" customHeight="1" x14ac:dyDescent="0.3">
      <c r="A32" s="16"/>
      <c r="B32" s="16" t="s">
        <v>157</v>
      </c>
      <c r="C32" s="143" t="s">
        <v>155</v>
      </c>
      <c r="D32" s="79" t="s">
        <v>220</v>
      </c>
      <c r="E32" s="79" t="s">
        <v>62</v>
      </c>
      <c r="F32" s="122">
        <v>1</v>
      </c>
      <c r="G32" s="161">
        <v>38718</v>
      </c>
      <c r="H32" s="162">
        <f t="shared" ca="1" si="0"/>
        <v>20.646575342465752</v>
      </c>
      <c r="I32" s="172">
        <f t="shared" ca="1" si="5"/>
        <v>20.067145289760809</v>
      </c>
      <c r="J32" s="123">
        <f ca="1">I32*$M$54</f>
        <v>21.471845460044069</v>
      </c>
      <c r="L32" s="56" t="s">
        <v>94</v>
      </c>
      <c r="M32" s="67"/>
      <c r="N32" s="67"/>
      <c r="O32" s="67"/>
      <c r="P32" s="68">
        <f>P31-P6-P7</f>
        <v>3673.4457043705006</v>
      </c>
      <c r="Q32" s="68"/>
      <c r="R32" s="69">
        <f>R31-R6-R7</f>
        <v>3457.9730004003527</v>
      </c>
    </row>
    <row r="33" spans="1:18" ht="14.4" customHeight="1" x14ac:dyDescent="0.3">
      <c r="A33" s="16"/>
      <c r="B33" s="22" t="s">
        <v>221</v>
      </c>
      <c r="C33" s="205" t="s">
        <v>155</v>
      </c>
      <c r="D33" s="206" t="s">
        <v>211</v>
      </c>
      <c r="E33" s="206" t="s">
        <v>188</v>
      </c>
      <c r="F33" s="207">
        <v>1</v>
      </c>
      <c r="G33" s="208">
        <v>40909</v>
      </c>
      <c r="H33" s="209">
        <f t="shared" ca="1" si="0"/>
        <v>14.643835616438356</v>
      </c>
      <c r="I33" s="210"/>
      <c r="J33" s="211"/>
      <c r="L33" s="56" t="s">
        <v>95</v>
      </c>
      <c r="M33" s="67"/>
      <c r="N33" s="67"/>
      <c r="O33" s="67"/>
      <c r="P33" s="71">
        <f>SUM('P&amp;L'!F38:I38)</f>
        <v>4.7326610532151312</v>
      </c>
      <c r="Q33" s="71"/>
      <c r="R33" s="72">
        <f>SUM('P&amp;L'!H38:K38)</f>
        <v>6.1882627295276036</v>
      </c>
    </row>
    <row r="34" spans="1:18" ht="14.4" customHeight="1" x14ac:dyDescent="0.3">
      <c r="A34" s="16"/>
      <c r="B34" s="191" t="s">
        <v>158</v>
      </c>
      <c r="C34" s="44" t="s">
        <v>155</v>
      </c>
      <c r="D34" s="79" t="s">
        <v>203</v>
      </c>
      <c r="E34" s="79" t="s">
        <v>62</v>
      </c>
      <c r="F34" s="192" t="s">
        <v>339</v>
      </c>
      <c r="G34" s="154">
        <v>44197</v>
      </c>
      <c r="H34" s="193"/>
      <c r="I34" s="193"/>
      <c r="J34" s="194"/>
      <c r="L34" s="56" t="s">
        <v>96</v>
      </c>
      <c r="M34" s="67"/>
      <c r="N34" s="67"/>
      <c r="O34" s="67"/>
      <c r="P34" s="68">
        <f>SUM('P&amp;L'!F45:I45)/1000</f>
        <v>696.64851394949994</v>
      </c>
      <c r="Q34" s="68"/>
      <c r="R34" s="69">
        <f>SUM('P&amp;L'!H45:K45)/1000</f>
        <v>870.88558633154742</v>
      </c>
    </row>
    <row r="35" spans="1:18" ht="14.4" customHeight="1" x14ac:dyDescent="0.3">
      <c r="A35" s="16"/>
      <c r="B35" s="16" t="s">
        <v>222</v>
      </c>
      <c r="C35" s="44" t="s">
        <v>159</v>
      </c>
      <c r="D35" s="79" t="s">
        <v>224</v>
      </c>
      <c r="E35" s="79" t="s">
        <v>188</v>
      </c>
      <c r="F35" s="122">
        <v>1</v>
      </c>
      <c r="G35" s="161">
        <v>40544</v>
      </c>
      <c r="H35" s="162">
        <f t="shared" ca="1" si="0"/>
        <v>15.643835616438356</v>
      </c>
      <c r="I35" s="172">
        <f ca="1">$M$46*H35^3+$N$46*H35^2+$O$46*H35+$P$46</f>
        <v>19.008871332321498</v>
      </c>
      <c r="J35" s="123">
        <f t="shared" ref="J35:J38" ca="1" si="10">I35*$M$58</f>
        <v>19.008871332321498</v>
      </c>
      <c r="L35" s="56" t="s">
        <v>97</v>
      </c>
      <c r="M35" s="67"/>
      <c r="N35" s="67"/>
      <c r="O35" s="67"/>
      <c r="P35" s="71">
        <f>SUM(M15:P15)</f>
        <v>2.4228945790119871</v>
      </c>
      <c r="Q35" s="71"/>
      <c r="R35" s="72">
        <f>SUM(O15:R15)</f>
        <v>3.5287160604786192</v>
      </c>
    </row>
    <row r="36" spans="1:18" ht="14.4" customHeight="1" x14ac:dyDescent="0.3">
      <c r="A36" s="16"/>
      <c r="B36" s="16" t="s">
        <v>223</v>
      </c>
      <c r="C36" s="44" t="s">
        <v>159</v>
      </c>
      <c r="D36" s="79" t="s">
        <v>224</v>
      </c>
      <c r="E36" s="79" t="s">
        <v>188</v>
      </c>
      <c r="F36" s="122">
        <v>1</v>
      </c>
      <c r="G36" s="161">
        <v>40544</v>
      </c>
      <c r="H36" s="162">
        <f t="shared" ca="1" si="0"/>
        <v>15.643835616438356</v>
      </c>
      <c r="I36" s="172">
        <f t="shared" ref="I36:I41" ca="1" si="11">$M$46*H36^3+$N$46*H36^2+$O$46*H36+$P$46</f>
        <v>19.008871332321498</v>
      </c>
      <c r="J36" s="123">
        <f t="shared" ca="1" si="10"/>
        <v>19.008871332321498</v>
      </c>
      <c r="L36" s="56" t="s">
        <v>98</v>
      </c>
      <c r="M36" s="67"/>
      <c r="N36" s="67"/>
      <c r="O36" s="67"/>
      <c r="P36" s="68">
        <f>SUM(CashFlow!F72:I72)/1000</f>
        <v>418.05651394949984</v>
      </c>
      <c r="Q36" s="68"/>
      <c r="R36" s="69">
        <f>SUM(CashFlow!H72:K72)/1000</f>
        <v>688.60158633154742</v>
      </c>
    </row>
    <row r="37" spans="1:18" ht="14.4" customHeight="1" x14ac:dyDescent="0.3">
      <c r="A37" s="16"/>
      <c r="B37" s="16" t="s">
        <v>160</v>
      </c>
      <c r="C37" s="44" t="s">
        <v>159</v>
      </c>
      <c r="D37" s="79" t="s">
        <v>224</v>
      </c>
      <c r="E37" s="79" t="s">
        <v>188</v>
      </c>
      <c r="F37" s="122">
        <v>1</v>
      </c>
      <c r="G37" s="161">
        <v>40544</v>
      </c>
      <c r="H37" s="162">
        <f t="shared" ca="1" si="0"/>
        <v>15.643835616438356</v>
      </c>
      <c r="I37" s="172">
        <f t="shared" ca="1" si="11"/>
        <v>19.008871332321498</v>
      </c>
      <c r="J37" s="123">
        <f t="shared" ca="1" si="10"/>
        <v>19.008871332321498</v>
      </c>
      <c r="L37" s="56" t="s">
        <v>99</v>
      </c>
      <c r="M37" s="73"/>
      <c r="N37" s="73"/>
      <c r="O37" s="73"/>
      <c r="P37" s="74">
        <f>$L$2/P33</f>
        <v>6.2924430178174227</v>
      </c>
      <c r="Q37" s="74"/>
      <c r="R37" s="75">
        <f>$L$2/R33</f>
        <v>4.8123360790587073</v>
      </c>
    </row>
    <row r="38" spans="1:18" ht="14.4" customHeight="1" x14ac:dyDescent="0.3">
      <c r="A38" s="16"/>
      <c r="B38" s="16" t="s">
        <v>161</v>
      </c>
      <c r="C38" s="44" t="s">
        <v>159</v>
      </c>
      <c r="D38" s="79" t="s">
        <v>224</v>
      </c>
      <c r="E38" s="79" t="s">
        <v>188</v>
      </c>
      <c r="F38" s="122">
        <v>1</v>
      </c>
      <c r="G38" s="161">
        <v>40544</v>
      </c>
      <c r="H38" s="162">
        <f t="shared" ca="1" si="0"/>
        <v>15.643835616438356</v>
      </c>
      <c r="I38" s="172">
        <f t="shared" ca="1" si="11"/>
        <v>19.008871332321498</v>
      </c>
      <c r="J38" s="123">
        <f t="shared" ca="1" si="10"/>
        <v>19.008871332321498</v>
      </c>
      <c r="L38" s="56" t="s">
        <v>100</v>
      </c>
      <c r="M38" s="73"/>
      <c r="N38" s="73"/>
      <c r="O38" s="73"/>
      <c r="P38" s="74">
        <f>P32/P34</f>
        <v>5.2730259676356512</v>
      </c>
      <c r="Q38" s="74"/>
      <c r="R38" s="75">
        <f>R32/R34</f>
        <v>3.9706398345234493</v>
      </c>
    </row>
    <row r="39" spans="1:18" ht="14.4" customHeight="1" x14ac:dyDescent="0.3">
      <c r="A39" s="16"/>
      <c r="B39" s="16" t="s">
        <v>225</v>
      </c>
      <c r="C39" s="44" t="s">
        <v>159</v>
      </c>
      <c r="D39" s="79" t="s">
        <v>231</v>
      </c>
      <c r="E39" s="79" t="s">
        <v>212</v>
      </c>
      <c r="F39" s="122">
        <v>1</v>
      </c>
      <c r="G39" s="161">
        <v>40544</v>
      </c>
      <c r="H39" s="162">
        <f t="shared" ca="1" si="0"/>
        <v>15.643835616438356</v>
      </c>
      <c r="I39" s="172">
        <f t="shared" ca="1" si="11"/>
        <v>19.008871332321498</v>
      </c>
      <c r="J39" s="123">
        <f t="shared" ref="J39:J41" ca="1" si="12">I39*$M$53</f>
        <v>20.529581038907217</v>
      </c>
      <c r="L39" s="56" t="s">
        <v>101</v>
      </c>
      <c r="M39" s="6"/>
      <c r="N39" s="6"/>
      <c r="O39" s="6"/>
      <c r="P39" s="74">
        <f>$L$2/(P36/P12)</f>
        <v>7.9273576412215236</v>
      </c>
      <c r="Q39" s="74"/>
      <c r="R39" s="75">
        <f>$L$2/(R36/R12)</f>
        <v>4.8127735487445387</v>
      </c>
    </row>
    <row r="40" spans="1:18" ht="14.4" customHeight="1" thickBot="1" x14ac:dyDescent="0.35">
      <c r="A40" s="16"/>
      <c r="B40" s="16" t="s">
        <v>226</v>
      </c>
      <c r="C40" s="44" t="s">
        <v>159</v>
      </c>
      <c r="D40" s="79" t="s">
        <v>231</v>
      </c>
      <c r="E40" s="79" t="s">
        <v>212</v>
      </c>
      <c r="F40" s="122">
        <v>1</v>
      </c>
      <c r="G40" s="161">
        <v>40179</v>
      </c>
      <c r="H40" s="162">
        <f t="shared" ca="1" si="0"/>
        <v>16.643835616438356</v>
      </c>
      <c r="I40" s="172">
        <f t="shared" ca="1" si="11"/>
        <v>17.418836069146352</v>
      </c>
      <c r="J40" s="123">
        <f t="shared" ca="1" si="12"/>
        <v>18.812342954678062</v>
      </c>
      <c r="L40" s="58" t="s">
        <v>102</v>
      </c>
      <c r="M40" s="10"/>
      <c r="N40" s="10"/>
      <c r="O40" s="10"/>
      <c r="P40" s="76">
        <f>P35/$L$2</f>
        <v>8.1359791101812864E-2</v>
      </c>
      <c r="Q40" s="76"/>
      <c r="R40" s="77">
        <f>R35/$L$2</f>
        <v>0.11849281599995364</v>
      </c>
    </row>
    <row r="41" spans="1:18" ht="14.4" customHeight="1" x14ac:dyDescent="0.3">
      <c r="A41" s="16"/>
      <c r="B41" s="16" t="s">
        <v>227</v>
      </c>
      <c r="C41" s="44" t="s">
        <v>159</v>
      </c>
      <c r="D41" s="79" t="s">
        <v>231</v>
      </c>
      <c r="E41" s="79" t="s">
        <v>212</v>
      </c>
      <c r="F41" s="122">
        <v>1</v>
      </c>
      <c r="G41" s="161">
        <v>40179</v>
      </c>
      <c r="H41" s="162">
        <f t="shared" ca="1" si="0"/>
        <v>16.643835616438356</v>
      </c>
      <c r="I41" s="172">
        <f t="shared" ca="1" si="11"/>
        <v>17.418836069146352</v>
      </c>
      <c r="J41" s="123">
        <f t="shared" ca="1" si="12"/>
        <v>18.812342954678062</v>
      </c>
      <c r="L41" s="6"/>
      <c r="M41" s="6"/>
      <c r="N41" s="6"/>
      <c r="O41" s="6"/>
    </row>
    <row r="42" spans="1:18" ht="14.4" customHeight="1" x14ac:dyDescent="0.3">
      <c r="A42" s="16"/>
      <c r="B42" s="16" t="s">
        <v>228</v>
      </c>
      <c r="C42" s="44" t="s">
        <v>162</v>
      </c>
      <c r="D42" s="79" t="s">
        <v>232</v>
      </c>
      <c r="E42" s="79" t="s">
        <v>62</v>
      </c>
      <c r="F42" s="122">
        <v>1</v>
      </c>
      <c r="G42" s="161">
        <v>40544</v>
      </c>
      <c r="H42" s="162">
        <f t="shared" ca="1" si="0"/>
        <v>15.643835616438356</v>
      </c>
      <c r="I42" s="172">
        <f ca="1">$M$47*H42^3+$N$47*H42^2+$O$47*H42+$P$47</f>
        <v>18.247516554950415</v>
      </c>
      <c r="J42" s="123">
        <f ca="1">I42*$M$54</f>
        <v>19.524842713796946</v>
      </c>
    </row>
    <row r="43" spans="1:18" ht="14.4" customHeight="1" thickBot="1" x14ac:dyDescent="0.35">
      <c r="A43" s="16"/>
      <c r="B43" s="16" t="s">
        <v>229</v>
      </c>
      <c r="C43" s="44" t="s">
        <v>162</v>
      </c>
      <c r="D43" s="79" t="s">
        <v>233</v>
      </c>
      <c r="E43" s="79" t="s">
        <v>62</v>
      </c>
      <c r="F43" s="122">
        <v>1</v>
      </c>
      <c r="G43" s="161">
        <v>38718</v>
      </c>
      <c r="H43" s="162">
        <f t="shared" ca="1" si="0"/>
        <v>20.646575342465752</v>
      </c>
      <c r="I43" s="172">
        <f t="shared" ref="I43:I77" ca="1" si="13">$M$47*H43^3+$N$47*H43^2+$O$47*H43+$P$47</f>
        <v>11.109246713482527</v>
      </c>
      <c r="J43" s="123">
        <f ca="1">I43*$M$54</f>
        <v>11.886893983426305</v>
      </c>
      <c r="L43" s="1" t="s">
        <v>29</v>
      </c>
    </row>
    <row r="44" spans="1:18" ht="14.4" customHeight="1" x14ac:dyDescent="0.3">
      <c r="A44" s="16"/>
      <c r="B44" s="16" t="s">
        <v>230</v>
      </c>
      <c r="C44" s="44" t="s">
        <v>162</v>
      </c>
      <c r="D44" s="79" t="s">
        <v>233</v>
      </c>
      <c r="E44" s="79" t="s">
        <v>62</v>
      </c>
      <c r="F44" s="122">
        <v>1</v>
      </c>
      <c r="G44" s="161">
        <v>38718</v>
      </c>
      <c r="H44" s="162">
        <f t="shared" ca="1" si="0"/>
        <v>20.646575342465752</v>
      </c>
      <c r="I44" s="172">
        <f t="shared" ca="1" si="13"/>
        <v>11.109246713482527</v>
      </c>
      <c r="J44" s="123">
        <f ca="1">I44*$M$54</f>
        <v>11.886893983426305</v>
      </c>
      <c r="L44" s="52" t="s">
        <v>155</v>
      </c>
      <c r="M44" s="166">
        <f>'[1]Vessels Values Master'!$I$41</f>
        <v>2.0018518518518536E-3</v>
      </c>
      <c r="N44" s="166">
        <f>'[1]Vessels Values Master'!$J$41</f>
        <v>-5.3944444444444566E-2</v>
      </c>
      <c r="O44" s="166">
        <f>'[1]Vessels Values Master'!$K$41</f>
        <v>-2.5852050264550246</v>
      </c>
      <c r="P44" s="167">
        <f>'[1]Vessels Values Master'!$L$41</f>
        <v>78.819484126984122</v>
      </c>
    </row>
    <row r="45" spans="1:18" ht="14.4" customHeight="1" x14ac:dyDescent="0.3">
      <c r="A45" s="16"/>
      <c r="B45" s="16" t="s">
        <v>234</v>
      </c>
      <c r="C45" s="44" t="s">
        <v>162</v>
      </c>
      <c r="D45" s="79" t="s">
        <v>233</v>
      </c>
      <c r="E45" s="79" t="s">
        <v>62</v>
      </c>
      <c r="F45" s="122">
        <v>1</v>
      </c>
      <c r="G45" s="161">
        <v>38353</v>
      </c>
      <c r="H45" s="162">
        <f t="shared" ca="1" si="0"/>
        <v>21.646575342465752</v>
      </c>
      <c r="I45" s="172">
        <f t="shared" ca="1" si="13"/>
        <v>10.003582083220444</v>
      </c>
      <c r="J45" s="123">
        <f ca="1">I45*$M$54</f>
        <v>10.703832829045876</v>
      </c>
      <c r="L45" s="56" t="s">
        <v>150</v>
      </c>
      <c r="M45" s="168">
        <f>'[1]Vessels Values Master'!$C$41</f>
        <v>7.9629629629629809E-4</v>
      </c>
      <c r="N45" s="168">
        <f>'[1]Vessels Values Master'!$D$41</f>
        <v>-1.8253968253968356E-2</v>
      </c>
      <c r="O45" s="168">
        <f>'[1]Vessels Values Master'!$E$41</f>
        <v>-2.8417328042328025</v>
      </c>
      <c r="P45" s="169">
        <f>'[1]Vessels Values Master'!$F$41</f>
        <v>83.073888888888874</v>
      </c>
    </row>
    <row r="46" spans="1:18" ht="14.4" customHeight="1" x14ac:dyDescent="0.3">
      <c r="A46" s="16"/>
      <c r="B46" s="16" t="s">
        <v>235</v>
      </c>
      <c r="C46" s="44" t="s">
        <v>162</v>
      </c>
      <c r="D46" s="79" t="s">
        <v>224</v>
      </c>
      <c r="E46" s="79" t="s">
        <v>188</v>
      </c>
      <c r="F46" s="122">
        <v>1</v>
      </c>
      <c r="G46" s="161">
        <v>39448</v>
      </c>
      <c r="H46" s="162">
        <f t="shared" ca="1" si="0"/>
        <v>18.646575342465752</v>
      </c>
      <c r="I46" s="172">
        <f t="shared" ca="1" si="13"/>
        <v>13.680639113819701</v>
      </c>
      <c r="J46" s="123">
        <f t="shared" ref="J46" ca="1" si="14">I46*$M$58</f>
        <v>13.680639113819701</v>
      </c>
      <c r="L46" s="56" t="s">
        <v>338</v>
      </c>
      <c r="M46" s="168">
        <f>'[1]Vessels Values Master'!$O$41</f>
        <v>2.1370370370370402E-3</v>
      </c>
      <c r="N46" s="168">
        <f>'[1]Vessels Values Master'!$P$41</f>
        <v>-6.9460317460317667E-2</v>
      </c>
      <c r="O46" s="168">
        <f>'[1]Vessels Values Master'!$Q$41</f>
        <v>-1.018743386243383</v>
      </c>
      <c r="P46" s="169">
        <f>'[1]Vessels Values Master'!$R$41</f>
        <v>43.763253968253949</v>
      </c>
    </row>
    <row r="47" spans="1:18" ht="14.4" customHeight="1" x14ac:dyDescent="0.3">
      <c r="B47" s="16" t="s">
        <v>236</v>
      </c>
      <c r="C47" s="44" t="s">
        <v>162</v>
      </c>
      <c r="D47" s="79" t="s">
        <v>233</v>
      </c>
      <c r="E47" s="79" t="s">
        <v>62</v>
      </c>
      <c r="F47" s="122">
        <v>1</v>
      </c>
      <c r="G47" s="161">
        <v>39448</v>
      </c>
      <c r="H47" s="162">
        <f t="shared" ca="1" si="0"/>
        <v>18.646575342465752</v>
      </c>
      <c r="I47" s="172">
        <f t="shared" ca="1" si="13"/>
        <v>13.680639113819701</v>
      </c>
      <c r="J47" s="123">
        <f ca="1">I47*$M$54</f>
        <v>14.638283851787081</v>
      </c>
      <c r="L47" s="56" t="s">
        <v>162</v>
      </c>
      <c r="M47" s="168">
        <f>'[1]Vessels Values Master'!$C$50</f>
        <v>2.1648148148148186E-3</v>
      </c>
      <c r="N47" s="168">
        <f>'[1]Vessels Values Master'!$D$50</f>
        <v>-7.1912698412698609E-2</v>
      </c>
      <c r="O47" s="168">
        <f>'[1]Vessels Values Master'!$E$50</f>
        <v>-0.96896164021163778</v>
      </c>
      <c r="P47" s="169">
        <f>'[1]Vessels Values Master'!$F$50</f>
        <v>42.716944444444444</v>
      </c>
    </row>
    <row r="48" spans="1:18" ht="14.4" customHeight="1" x14ac:dyDescent="0.3">
      <c r="A48" s="16"/>
      <c r="B48" s="16" t="s">
        <v>163</v>
      </c>
      <c r="C48" s="44" t="s">
        <v>162</v>
      </c>
      <c r="D48" s="79" t="s">
        <v>233</v>
      </c>
      <c r="E48" s="79" t="s">
        <v>62</v>
      </c>
      <c r="F48" s="122">
        <v>1</v>
      </c>
      <c r="G48" s="161">
        <v>38718</v>
      </c>
      <c r="H48" s="162">
        <f t="shared" ca="1" si="0"/>
        <v>20.646575342465752</v>
      </c>
      <c r="I48" s="172">
        <f t="shared" ca="1" si="13"/>
        <v>11.109246713482527</v>
      </c>
      <c r="J48" s="123">
        <f ca="1">I48*$M$54</f>
        <v>11.886893983426305</v>
      </c>
      <c r="L48" s="56" t="s">
        <v>169</v>
      </c>
      <c r="M48" s="168">
        <f>'[1]Vessels Values Master'!$O$50</f>
        <v>1.5648148148148158E-3</v>
      </c>
      <c r="N48" s="168">
        <f>'[1]Vessels Values Master'!$P$50</f>
        <v>-5.3055555555555627E-2</v>
      </c>
      <c r="O48" s="168">
        <f>'[1]Vessels Values Master'!$Q$50</f>
        <v>-1.1039616402116386</v>
      </c>
      <c r="P48" s="169">
        <f>'[1]Vessels Values Master'!$R$50</f>
        <v>42.335515873015865</v>
      </c>
    </row>
    <row r="49" spans="1:16" ht="14.4" customHeight="1" thickBot="1" x14ac:dyDescent="0.35">
      <c r="B49" s="16" t="s">
        <v>237</v>
      </c>
      <c r="C49" s="44" t="s">
        <v>162</v>
      </c>
      <c r="D49" s="79" t="s">
        <v>233</v>
      </c>
      <c r="E49" s="79" t="s">
        <v>62</v>
      </c>
      <c r="F49" s="122">
        <v>1</v>
      </c>
      <c r="G49" s="161">
        <v>39083</v>
      </c>
      <c r="H49" s="162">
        <f t="shared" ca="1" si="0"/>
        <v>19.646575342465752</v>
      </c>
      <c r="I49" s="172">
        <f t="shared" ca="1" si="13"/>
        <v>12.339262019978584</v>
      </c>
      <c r="J49" s="123">
        <f ca="1">I49*$M$54</f>
        <v>13.203010361377086</v>
      </c>
      <c r="L49" s="58" t="s">
        <v>178</v>
      </c>
      <c r="M49" s="170">
        <f>'[1]Vessels Values Master'!$U$50</f>
        <v>1.7796296296296345E-3</v>
      </c>
      <c r="N49" s="170">
        <f>'[1]Vessels Values Master'!$V$50</f>
        <v>-5.7896825396825606E-2</v>
      </c>
      <c r="O49" s="170">
        <f>'[1]Vessels Values Master'!$W$50</f>
        <v>-0.75131613756613458</v>
      </c>
      <c r="P49" s="171">
        <f>'[1]Vessels Values Master'!$X$50</f>
        <v>33.439960317460304</v>
      </c>
    </row>
    <row r="50" spans="1:16" ht="14.4" customHeight="1" x14ac:dyDescent="0.3">
      <c r="B50" s="16" t="s">
        <v>238</v>
      </c>
      <c r="C50" s="44" t="s">
        <v>162</v>
      </c>
      <c r="D50" s="79" t="s">
        <v>233</v>
      </c>
      <c r="E50" s="79" t="s">
        <v>62</v>
      </c>
      <c r="F50" s="122">
        <v>1</v>
      </c>
      <c r="G50" s="161">
        <v>39083</v>
      </c>
      <c r="H50" s="162">
        <f t="shared" ca="1" si="0"/>
        <v>19.646575342465752</v>
      </c>
      <c r="I50" s="172">
        <f t="shared" ca="1" si="13"/>
        <v>12.339262019978584</v>
      </c>
      <c r="J50" s="123">
        <f ca="1">I50*$M$54</f>
        <v>13.203010361377086</v>
      </c>
      <c r="L50" s="27"/>
    </row>
    <row r="51" spans="1:16" ht="14.4" customHeight="1" x14ac:dyDescent="0.3">
      <c r="A51" s="16"/>
      <c r="B51" s="16" t="s">
        <v>239</v>
      </c>
      <c r="C51" s="44" t="s">
        <v>162</v>
      </c>
      <c r="D51" s="79" t="s">
        <v>211</v>
      </c>
      <c r="E51" s="79" t="s">
        <v>212</v>
      </c>
      <c r="F51" s="122">
        <v>1</v>
      </c>
      <c r="G51" s="161">
        <v>41640</v>
      </c>
      <c r="H51" s="162">
        <f t="shared" ca="1" si="0"/>
        <v>12.641095890410959</v>
      </c>
      <c r="I51" s="172">
        <f t="shared" ca="1" si="13"/>
        <v>23.349706209677365</v>
      </c>
      <c r="J51" s="123">
        <f ca="1">I51*$M$53</f>
        <v>25.217682706451555</v>
      </c>
      <c r="K51" s="142"/>
    </row>
    <row r="52" spans="1:16" ht="14.4" customHeight="1" x14ac:dyDescent="0.3">
      <c r="A52" s="16"/>
      <c r="B52" s="16" t="s">
        <v>240</v>
      </c>
      <c r="C52" s="44" t="s">
        <v>162</v>
      </c>
      <c r="D52" s="79" t="s">
        <v>242</v>
      </c>
      <c r="E52" s="79" t="s">
        <v>188</v>
      </c>
      <c r="F52" s="122">
        <v>1</v>
      </c>
      <c r="G52" s="161">
        <v>44197</v>
      </c>
      <c r="H52" s="162">
        <f t="shared" ca="1" si="0"/>
        <v>5.6356164383561644</v>
      </c>
      <c r="I52" s="172">
        <f t="shared" ca="1" si="13"/>
        <v>35.3597647811131</v>
      </c>
      <c r="J52" s="123">
        <f t="shared" ref="J52" ca="1" si="15">I52*$M$58</f>
        <v>35.3597647811131</v>
      </c>
      <c r="K52" s="142"/>
      <c r="L52" s="1" t="s">
        <v>85</v>
      </c>
    </row>
    <row r="53" spans="1:16" ht="14.4" customHeight="1" x14ac:dyDescent="0.3">
      <c r="A53" s="16"/>
      <c r="B53" s="16" t="s">
        <v>241</v>
      </c>
      <c r="C53" s="44" t="s">
        <v>162</v>
      </c>
      <c r="D53" s="79" t="s">
        <v>233</v>
      </c>
      <c r="E53" s="79" t="s">
        <v>62</v>
      </c>
      <c r="F53" s="122">
        <v>1</v>
      </c>
      <c r="G53" s="161">
        <v>39083</v>
      </c>
      <c r="H53" s="162">
        <f t="shared" ca="1" si="0"/>
        <v>19.646575342465752</v>
      </c>
      <c r="I53" s="172">
        <f t="shared" ca="1" si="13"/>
        <v>12.339262019978584</v>
      </c>
      <c r="J53" s="123">
        <f ca="1">I53*$M$54</f>
        <v>13.203010361377086</v>
      </c>
      <c r="K53" s="142"/>
      <c r="L53" s="6" t="s">
        <v>87</v>
      </c>
      <c r="M53" s="60">
        <v>1.08</v>
      </c>
    </row>
    <row r="54" spans="1:16" ht="14.4" customHeight="1" x14ac:dyDescent="0.3">
      <c r="A54" s="16"/>
      <c r="B54" s="22" t="s">
        <v>243</v>
      </c>
      <c r="C54" s="205" t="s">
        <v>162</v>
      </c>
      <c r="D54" s="206" t="s">
        <v>233</v>
      </c>
      <c r="E54" s="206" t="s">
        <v>62</v>
      </c>
      <c r="F54" s="207">
        <v>1</v>
      </c>
      <c r="G54" s="208">
        <v>38718</v>
      </c>
      <c r="H54" s="209">
        <f t="shared" ca="1" si="0"/>
        <v>20.646575342465752</v>
      </c>
      <c r="I54" s="210"/>
      <c r="J54" s="211"/>
      <c r="K54" s="142"/>
      <c r="L54" s="6" t="s">
        <v>62</v>
      </c>
      <c r="M54" s="60">
        <v>1.07</v>
      </c>
    </row>
    <row r="55" spans="1:16" ht="14.4" customHeight="1" x14ac:dyDescent="0.3">
      <c r="A55" s="16"/>
      <c r="B55" s="16" t="s">
        <v>244</v>
      </c>
      <c r="C55" s="44" t="s">
        <v>162</v>
      </c>
      <c r="D55" s="79" t="s">
        <v>233</v>
      </c>
      <c r="E55" s="79" t="s">
        <v>62</v>
      </c>
      <c r="F55" s="122">
        <v>1</v>
      </c>
      <c r="G55" s="161">
        <v>38718</v>
      </c>
      <c r="H55" s="162">
        <f t="shared" ca="1" si="0"/>
        <v>20.646575342465752</v>
      </c>
      <c r="I55" s="172">
        <f t="shared" ca="1" si="13"/>
        <v>11.109246713482527</v>
      </c>
      <c r="J55" s="123">
        <f t="shared" ref="J55:J63" ca="1" si="16">I55*$M$54</f>
        <v>11.886893983426305</v>
      </c>
      <c r="K55" s="142"/>
      <c r="L55" s="6" t="s">
        <v>91</v>
      </c>
      <c r="M55" s="60">
        <v>1.02</v>
      </c>
    </row>
    <row r="56" spans="1:16" ht="14.4" customHeight="1" x14ac:dyDescent="0.3">
      <c r="A56" s="16"/>
      <c r="B56" s="16" t="s">
        <v>245</v>
      </c>
      <c r="C56" s="44" t="s">
        <v>162</v>
      </c>
      <c r="D56" s="79" t="s">
        <v>233</v>
      </c>
      <c r="E56" s="79" t="s">
        <v>62</v>
      </c>
      <c r="F56" s="122">
        <v>1</v>
      </c>
      <c r="G56" s="161">
        <v>38718</v>
      </c>
      <c r="H56" s="162">
        <f t="shared" ca="1" si="0"/>
        <v>20.646575342465752</v>
      </c>
      <c r="I56" s="172">
        <f t="shared" ca="1" si="13"/>
        <v>11.109246713482527</v>
      </c>
      <c r="J56" s="123">
        <f t="shared" ca="1" si="16"/>
        <v>11.886893983426305</v>
      </c>
      <c r="K56" s="142"/>
      <c r="L56" s="141" t="s">
        <v>138</v>
      </c>
      <c r="M56" s="60">
        <v>1.02</v>
      </c>
    </row>
    <row r="57" spans="1:16" ht="14.4" customHeight="1" x14ac:dyDescent="0.3">
      <c r="A57" s="16"/>
      <c r="B57" s="16" t="s">
        <v>246</v>
      </c>
      <c r="C57" s="44" t="s">
        <v>162</v>
      </c>
      <c r="D57" s="79" t="s">
        <v>233</v>
      </c>
      <c r="E57" s="79" t="s">
        <v>62</v>
      </c>
      <c r="F57" s="122">
        <v>1</v>
      </c>
      <c r="G57" s="161">
        <v>38718</v>
      </c>
      <c r="H57" s="162">
        <f t="shared" ca="1" si="0"/>
        <v>20.646575342465752</v>
      </c>
      <c r="I57" s="172">
        <f t="shared" ca="1" si="13"/>
        <v>11.109246713482527</v>
      </c>
      <c r="J57" s="123">
        <f t="shared" ca="1" si="16"/>
        <v>11.886893983426305</v>
      </c>
      <c r="K57" s="142"/>
      <c r="L57" s="6" t="s">
        <v>132</v>
      </c>
      <c r="M57" s="60">
        <v>1.02</v>
      </c>
    </row>
    <row r="58" spans="1:16" ht="14.4" customHeight="1" x14ac:dyDescent="0.3">
      <c r="A58" s="16"/>
      <c r="B58" s="16" t="s">
        <v>247</v>
      </c>
      <c r="C58" s="44" t="s">
        <v>162</v>
      </c>
      <c r="D58" s="79" t="s">
        <v>233</v>
      </c>
      <c r="E58" s="79" t="s">
        <v>62</v>
      </c>
      <c r="F58" s="122">
        <v>1</v>
      </c>
      <c r="G58" s="161">
        <v>38718</v>
      </c>
      <c r="H58" s="162">
        <f t="shared" ca="1" si="0"/>
        <v>20.646575342465752</v>
      </c>
      <c r="I58" s="172">
        <f t="shared" ca="1" si="13"/>
        <v>11.109246713482527</v>
      </c>
      <c r="J58" s="123">
        <f t="shared" ca="1" si="16"/>
        <v>11.886893983426305</v>
      </c>
      <c r="K58" s="142"/>
      <c r="L58" s="6" t="s">
        <v>93</v>
      </c>
      <c r="M58" s="60">
        <v>1</v>
      </c>
    </row>
    <row r="59" spans="1:16" ht="14.4" customHeight="1" x14ac:dyDescent="0.3">
      <c r="A59" s="16"/>
      <c r="B59" s="16" t="s">
        <v>248</v>
      </c>
      <c r="C59" s="44" t="s">
        <v>162</v>
      </c>
      <c r="D59" s="79" t="s">
        <v>233</v>
      </c>
      <c r="E59" s="79" t="s">
        <v>62</v>
      </c>
      <c r="F59" s="122">
        <v>1</v>
      </c>
      <c r="G59" s="161">
        <v>40909</v>
      </c>
      <c r="H59" s="162">
        <f t="shared" ca="1" si="0"/>
        <v>14.643835616438356</v>
      </c>
      <c r="I59" s="172">
        <f t="shared" ca="1" si="13"/>
        <v>19.904596824335957</v>
      </c>
      <c r="J59" s="123">
        <f t="shared" ca="1" si="16"/>
        <v>21.297918602039477</v>
      </c>
      <c r="K59" s="142"/>
    </row>
    <row r="60" spans="1:16" ht="14.4" customHeight="1" x14ac:dyDescent="0.3">
      <c r="A60" s="16"/>
      <c r="B60" s="16" t="s">
        <v>249</v>
      </c>
      <c r="C60" s="44" t="s">
        <v>162</v>
      </c>
      <c r="D60" s="79" t="s">
        <v>233</v>
      </c>
      <c r="E60" s="79" t="s">
        <v>62</v>
      </c>
      <c r="F60" s="122">
        <v>1</v>
      </c>
      <c r="G60" s="161">
        <v>38718</v>
      </c>
      <c r="H60" s="162">
        <f t="shared" ca="1" si="0"/>
        <v>20.646575342465752</v>
      </c>
      <c r="I60" s="172">
        <f t="shared" ca="1" si="13"/>
        <v>11.109246713482527</v>
      </c>
      <c r="J60" s="123">
        <f t="shared" ca="1" si="16"/>
        <v>11.886893983426305</v>
      </c>
      <c r="K60" s="142"/>
    </row>
    <row r="61" spans="1:16" ht="14.4" customHeight="1" x14ac:dyDescent="0.3">
      <c r="A61" s="16"/>
      <c r="B61" s="16" t="s">
        <v>250</v>
      </c>
      <c r="C61" s="44" t="s">
        <v>162</v>
      </c>
      <c r="D61" s="79" t="s">
        <v>233</v>
      </c>
      <c r="E61" s="79" t="s">
        <v>62</v>
      </c>
      <c r="F61" s="122">
        <v>1</v>
      </c>
      <c r="G61" s="161">
        <v>40909</v>
      </c>
      <c r="H61" s="162">
        <f t="shared" ca="1" si="0"/>
        <v>14.643835616438356</v>
      </c>
      <c r="I61" s="172">
        <f t="shared" ca="1" si="13"/>
        <v>19.904596824335957</v>
      </c>
      <c r="J61" s="123">
        <f t="shared" ca="1" si="16"/>
        <v>21.297918602039477</v>
      </c>
      <c r="K61" s="142"/>
    </row>
    <row r="62" spans="1:16" ht="14.4" customHeight="1" x14ac:dyDescent="0.3">
      <c r="A62" s="142"/>
      <c r="B62" s="16" t="s">
        <v>255</v>
      </c>
      <c r="C62" s="44" t="s">
        <v>162</v>
      </c>
      <c r="D62" s="79" t="s">
        <v>232</v>
      </c>
      <c r="E62" s="79" t="s">
        <v>62</v>
      </c>
      <c r="F62" s="122">
        <v>1</v>
      </c>
      <c r="G62" s="161">
        <v>42736</v>
      </c>
      <c r="H62" s="162">
        <f t="shared" ca="1" si="0"/>
        <v>9.6383561643835609</v>
      </c>
      <c r="I62" s="172">
        <f t="shared" ca="1" si="13"/>
        <v>28.635546378352707</v>
      </c>
      <c r="J62" s="123">
        <f t="shared" ca="1" si="16"/>
        <v>30.640034624837398</v>
      </c>
      <c r="K62" s="142"/>
    </row>
    <row r="63" spans="1:16" ht="14.4" customHeight="1" x14ac:dyDescent="0.3">
      <c r="A63" s="142"/>
      <c r="B63" s="16" t="s">
        <v>256</v>
      </c>
      <c r="C63" s="44" t="s">
        <v>162</v>
      </c>
      <c r="D63" s="79" t="s">
        <v>233</v>
      </c>
      <c r="E63" s="79" t="s">
        <v>62</v>
      </c>
      <c r="F63" s="122">
        <v>1</v>
      </c>
      <c r="G63" s="161">
        <v>41640</v>
      </c>
      <c r="H63" s="162">
        <f t="shared" ref="H63:H126" ca="1" si="17">(TODAY()-G63)/365</f>
        <v>12.641095890410959</v>
      </c>
      <c r="I63" s="172">
        <f t="shared" ca="1" si="13"/>
        <v>23.349706209677365</v>
      </c>
      <c r="J63" s="123">
        <f t="shared" ca="1" si="16"/>
        <v>24.984185644354781</v>
      </c>
      <c r="K63" s="142"/>
    </row>
    <row r="64" spans="1:16" ht="14.4" customHeight="1" x14ac:dyDescent="0.3">
      <c r="A64" s="16"/>
      <c r="B64" s="16" t="s">
        <v>257</v>
      </c>
      <c r="C64" s="44" t="s">
        <v>162</v>
      </c>
      <c r="D64" s="79" t="s">
        <v>253</v>
      </c>
      <c r="E64" s="79" t="s">
        <v>188</v>
      </c>
      <c r="F64" s="122">
        <v>1</v>
      </c>
      <c r="G64" s="161">
        <v>41275</v>
      </c>
      <c r="H64" s="162">
        <f t="shared" ca="1" si="17"/>
        <v>13.641095890410959</v>
      </c>
      <c r="I64" s="172">
        <f t="shared" ca="1" si="13"/>
        <v>21.61277766981015</v>
      </c>
      <c r="J64" s="123">
        <f t="shared" ref="J64:J66" ca="1" si="18">I64*$M$58</f>
        <v>21.61277766981015</v>
      </c>
      <c r="K64" s="142"/>
    </row>
    <row r="65" spans="1:11" ht="14.4" customHeight="1" x14ac:dyDescent="0.3">
      <c r="A65" s="142"/>
      <c r="B65" s="16" t="s">
        <v>258</v>
      </c>
      <c r="C65" s="44" t="s">
        <v>162</v>
      </c>
      <c r="D65" s="79" t="s">
        <v>253</v>
      </c>
      <c r="E65" s="79" t="s">
        <v>188</v>
      </c>
      <c r="F65" s="122">
        <v>1</v>
      </c>
      <c r="G65" s="161">
        <v>41275</v>
      </c>
      <c r="H65" s="162">
        <f t="shared" ca="1" si="17"/>
        <v>13.641095890410959</v>
      </c>
      <c r="I65" s="172">
        <f t="shared" ca="1" si="13"/>
        <v>21.61277766981015</v>
      </c>
      <c r="J65" s="123">
        <f t="shared" ca="1" si="18"/>
        <v>21.61277766981015</v>
      </c>
      <c r="K65" s="142"/>
    </row>
    <row r="66" spans="1:11" ht="14.4" customHeight="1" x14ac:dyDescent="0.3">
      <c r="A66" s="142"/>
      <c r="B66" s="16" t="s">
        <v>259</v>
      </c>
      <c r="C66" s="44" t="s">
        <v>162</v>
      </c>
      <c r="D66" s="79" t="s">
        <v>254</v>
      </c>
      <c r="E66" s="79" t="s">
        <v>188</v>
      </c>
      <c r="F66" s="122">
        <v>1</v>
      </c>
      <c r="G66" s="161">
        <v>41275</v>
      </c>
      <c r="H66" s="162">
        <f t="shared" ca="1" si="17"/>
        <v>13.641095890410959</v>
      </c>
      <c r="I66" s="172">
        <f t="shared" ca="1" si="13"/>
        <v>21.61277766981015</v>
      </c>
      <c r="J66" s="123">
        <f t="shared" ca="1" si="18"/>
        <v>21.61277766981015</v>
      </c>
      <c r="K66" s="142"/>
    </row>
    <row r="67" spans="1:11" ht="14.4" customHeight="1" x14ac:dyDescent="0.3">
      <c r="A67" s="142"/>
      <c r="B67" s="16" t="s">
        <v>164</v>
      </c>
      <c r="C67" s="44" t="s">
        <v>162</v>
      </c>
      <c r="D67" s="79" t="s">
        <v>217</v>
      </c>
      <c r="E67" s="79" t="s">
        <v>212</v>
      </c>
      <c r="F67" s="122">
        <v>1</v>
      </c>
      <c r="G67" s="161">
        <v>40544</v>
      </c>
      <c r="H67" s="162">
        <f t="shared" ca="1" si="17"/>
        <v>15.643835616438356</v>
      </c>
      <c r="I67" s="172">
        <f t="shared" ca="1" si="13"/>
        <v>18.247516554950415</v>
      </c>
      <c r="J67" s="123">
        <f ca="1">I67*$M$53</f>
        <v>19.707317879346451</v>
      </c>
      <c r="K67" s="142"/>
    </row>
    <row r="68" spans="1:11" ht="14.4" customHeight="1" x14ac:dyDescent="0.3">
      <c r="A68" s="16"/>
      <c r="B68" s="16" t="s">
        <v>260</v>
      </c>
      <c r="C68" s="44" t="s">
        <v>162</v>
      </c>
      <c r="D68" s="79" t="s">
        <v>265</v>
      </c>
      <c r="E68" s="79" t="s">
        <v>62</v>
      </c>
      <c r="F68" s="122">
        <v>1</v>
      </c>
      <c r="G68" s="161">
        <v>40179</v>
      </c>
      <c r="H68" s="162">
        <f t="shared" ca="1" si="17"/>
        <v>16.643835616438356</v>
      </c>
      <c r="I68" s="172">
        <f t="shared" ca="1" si="13"/>
        <v>16.649806931357432</v>
      </c>
      <c r="J68" s="123">
        <f ca="1">I68*$M$54</f>
        <v>17.815293416552453</v>
      </c>
      <c r="K68" s="142"/>
    </row>
    <row r="69" spans="1:11" ht="14.4" customHeight="1" x14ac:dyDescent="0.3">
      <c r="A69" s="16"/>
      <c r="B69" s="16" t="s">
        <v>261</v>
      </c>
      <c r="C69" s="44" t="s">
        <v>162</v>
      </c>
      <c r="D69" s="79" t="s">
        <v>266</v>
      </c>
      <c r="E69" s="79" t="s">
        <v>188</v>
      </c>
      <c r="F69" s="122">
        <v>1</v>
      </c>
      <c r="G69" s="161">
        <v>42370</v>
      </c>
      <c r="H69" s="162">
        <f t="shared" ca="1" si="17"/>
        <v>10.641095890410959</v>
      </c>
      <c r="I69" s="172">
        <f t="shared" ca="1" si="13"/>
        <v>26.871679579909728</v>
      </c>
      <c r="J69" s="123">
        <f t="shared" ref="J69:J72" ca="1" si="19">I69*$M$58</f>
        <v>26.871679579909728</v>
      </c>
      <c r="K69" s="142"/>
    </row>
    <row r="70" spans="1:11" ht="14.4" customHeight="1" x14ac:dyDescent="0.3">
      <c r="A70" s="16"/>
      <c r="B70" s="16" t="s">
        <v>262</v>
      </c>
      <c r="C70" s="44" t="s">
        <v>162</v>
      </c>
      <c r="D70" s="79" t="s">
        <v>266</v>
      </c>
      <c r="E70" s="79" t="s">
        <v>188</v>
      </c>
      <c r="F70" s="122">
        <v>1</v>
      </c>
      <c r="G70" s="161">
        <v>42005</v>
      </c>
      <c r="H70" s="162">
        <f t="shared" ca="1" si="17"/>
        <v>11.641095890410959</v>
      </c>
      <c r="I70" s="172">
        <f t="shared" ca="1" si="13"/>
        <v>25.10700314267352</v>
      </c>
      <c r="J70" s="123">
        <f t="shared" ca="1" si="19"/>
        <v>25.10700314267352</v>
      </c>
      <c r="K70" s="142"/>
    </row>
    <row r="71" spans="1:11" ht="14.4" customHeight="1" x14ac:dyDescent="0.3">
      <c r="A71" s="16"/>
      <c r="B71" s="16" t="s">
        <v>263</v>
      </c>
      <c r="C71" s="44" t="s">
        <v>162</v>
      </c>
      <c r="D71" s="79" t="s">
        <v>266</v>
      </c>
      <c r="E71" s="79" t="s">
        <v>188</v>
      </c>
      <c r="F71" s="122">
        <v>1</v>
      </c>
      <c r="G71" s="161">
        <v>42005</v>
      </c>
      <c r="H71" s="162">
        <f t="shared" ca="1" si="17"/>
        <v>11.641095890410959</v>
      </c>
      <c r="I71" s="172">
        <f t="shared" ca="1" si="13"/>
        <v>25.10700314267352</v>
      </c>
      <c r="J71" s="123">
        <f t="shared" ca="1" si="19"/>
        <v>25.10700314267352</v>
      </c>
      <c r="K71" s="142"/>
    </row>
    <row r="72" spans="1:11" ht="14.4" customHeight="1" x14ac:dyDescent="0.3">
      <c r="A72" s="16"/>
      <c r="B72" s="16" t="s">
        <v>264</v>
      </c>
      <c r="C72" s="44" t="s">
        <v>162</v>
      </c>
      <c r="D72" s="79" t="s">
        <v>266</v>
      </c>
      <c r="E72" s="79" t="s">
        <v>188</v>
      </c>
      <c r="F72" s="122">
        <v>1</v>
      </c>
      <c r="G72" s="161">
        <v>42370</v>
      </c>
      <c r="H72" s="162">
        <f t="shared" ca="1" si="17"/>
        <v>10.641095890410959</v>
      </c>
      <c r="I72" s="172">
        <f t="shared" ca="1" si="13"/>
        <v>26.871679579909728</v>
      </c>
      <c r="J72" s="123">
        <f t="shared" ca="1" si="19"/>
        <v>26.871679579909728</v>
      </c>
      <c r="K72" s="142"/>
    </row>
    <row r="73" spans="1:11" ht="14.4" customHeight="1" x14ac:dyDescent="0.3">
      <c r="A73" s="142"/>
      <c r="B73" s="16" t="s">
        <v>267</v>
      </c>
      <c r="C73" s="44" t="s">
        <v>162</v>
      </c>
      <c r="D73" s="79" t="s">
        <v>203</v>
      </c>
      <c r="E73" s="79" t="s">
        <v>62</v>
      </c>
      <c r="F73" s="122">
        <v>1</v>
      </c>
      <c r="G73" s="161">
        <v>41275</v>
      </c>
      <c r="H73" s="162">
        <f t="shared" ca="1" si="17"/>
        <v>13.641095890410959</v>
      </c>
      <c r="I73" s="172">
        <f t="shared" ca="1" si="13"/>
        <v>21.61277766981015</v>
      </c>
      <c r="J73" s="123">
        <f t="shared" ref="J73:J75" ca="1" si="20">I73*$M$54</f>
        <v>23.125672106696861</v>
      </c>
      <c r="K73" s="142"/>
    </row>
    <row r="74" spans="1:11" ht="14.4" customHeight="1" x14ac:dyDescent="0.3">
      <c r="A74" s="16"/>
      <c r="B74" s="16" t="s">
        <v>268</v>
      </c>
      <c r="C74" s="44" t="s">
        <v>162</v>
      </c>
      <c r="D74" s="79" t="s">
        <v>203</v>
      </c>
      <c r="E74" s="79" t="s">
        <v>62</v>
      </c>
      <c r="F74" s="122">
        <v>1</v>
      </c>
      <c r="G74" s="161">
        <v>41275</v>
      </c>
      <c r="H74" s="162">
        <f t="shared" ca="1" si="17"/>
        <v>13.641095890410959</v>
      </c>
      <c r="I74" s="172">
        <f t="shared" ca="1" si="13"/>
        <v>21.61277766981015</v>
      </c>
      <c r="J74" s="123">
        <f t="shared" ca="1" si="20"/>
        <v>23.125672106696861</v>
      </c>
      <c r="K74" s="142"/>
    </row>
    <row r="75" spans="1:11" ht="14.4" customHeight="1" x14ac:dyDescent="0.3">
      <c r="A75" s="16"/>
      <c r="B75" s="16" t="s">
        <v>269</v>
      </c>
      <c r="C75" s="44" t="s">
        <v>162</v>
      </c>
      <c r="D75" s="79" t="s">
        <v>203</v>
      </c>
      <c r="E75" s="79" t="s">
        <v>62</v>
      </c>
      <c r="F75" s="122">
        <v>1</v>
      </c>
      <c r="G75" s="161">
        <v>42005</v>
      </c>
      <c r="H75" s="162">
        <f t="shared" ca="1" si="17"/>
        <v>11.641095890410959</v>
      </c>
      <c r="I75" s="172">
        <f t="shared" ca="1" si="13"/>
        <v>25.10700314267352</v>
      </c>
      <c r="J75" s="123">
        <f t="shared" ca="1" si="20"/>
        <v>26.864493362660667</v>
      </c>
      <c r="K75" s="142"/>
    </row>
    <row r="76" spans="1:11" ht="14.4" customHeight="1" x14ac:dyDescent="0.3">
      <c r="A76" s="16"/>
      <c r="B76" s="16" t="s">
        <v>270</v>
      </c>
      <c r="C76" s="44" t="s">
        <v>162</v>
      </c>
      <c r="D76" s="79" t="s">
        <v>211</v>
      </c>
      <c r="E76" s="79" t="s">
        <v>212</v>
      </c>
      <c r="F76" s="122">
        <v>1</v>
      </c>
      <c r="G76" s="161">
        <v>40179</v>
      </c>
      <c r="H76" s="162">
        <f t="shared" ca="1" si="17"/>
        <v>16.643835616438356</v>
      </c>
      <c r="I76" s="172">
        <f t="shared" ca="1" si="13"/>
        <v>16.649806931357432</v>
      </c>
      <c r="J76" s="123">
        <f ca="1">I76*$M$53</f>
        <v>17.981791485866026</v>
      </c>
      <c r="K76" s="142"/>
    </row>
    <row r="77" spans="1:11" ht="14.4" customHeight="1" x14ac:dyDescent="0.3">
      <c r="A77" s="16"/>
      <c r="B77" s="16" t="s">
        <v>271</v>
      </c>
      <c r="C77" s="44" t="s">
        <v>162</v>
      </c>
      <c r="D77" s="79" t="s">
        <v>211</v>
      </c>
      <c r="E77" s="79" t="s">
        <v>212</v>
      </c>
      <c r="F77" s="122">
        <v>1</v>
      </c>
      <c r="G77" s="161">
        <v>40544</v>
      </c>
      <c r="H77" s="162">
        <f t="shared" ca="1" si="17"/>
        <v>15.643835616438356</v>
      </c>
      <c r="I77" s="172">
        <f t="shared" ca="1" si="13"/>
        <v>18.247516554950415</v>
      </c>
      <c r="J77" s="123">
        <f ca="1">I77*$M$53</f>
        <v>19.707317879346451</v>
      </c>
      <c r="K77" s="142"/>
    </row>
    <row r="78" spans="1:11" ht="14.4" customHeight="1" x14ac:dyDescent="0.3">
      <c r="A78" s="16"/>
      <c r="B78" s="191" t="s">
        <v>165</v>
      </c>
      <c r="C78" s="44" t="s">
        <v>162</v>
      </c>
      <c r="D78" s="79" t="s">
        <v>203</v>
      </c>
      <c r="E78" s="79" t="s">
        <v>62</v>
      </c>
      <c r="F78" s="192" t="s">
        <v>339</v>
      </c>
      <c r="G78" s="154">
        <v>45444</v>
      </c>
      <c r="H78" s="193"/>
      <c r="I78" s="193"/>
      <c r="J78" s="194"/>
      <c r="K78" s="142"/>
    </row>
    <row r="79" spans="1:11" ht="14.4" customHeight="1" x14ac:dyDescent="0.3">
      <c r="A79" s="16"/>
      <c r="B79" s="191" t="s">
        <v>166</v>
      </c>
      <c r="C79" s="44" t="s">
        <v>162</v>
      </c>
      <c r="D79" s="79" t="s">
        <v>224</v>
      </c>
      <c r="E79" s="79" t="s">
        <v>188</v>
      </c>
      <c r="F79" s="192" t="s">
        <v>339</v>
      </c>
      <c r="G79" s="154">
        <v>45536</v>
      </c>
      <c r="H79" s="193"/>
      <c r="I79" s="193"/>
      <c r="J79" s="194"/>
      <c r="K79" s="142"/>
    </row>
    <row r="80" spans="1:11" ht="14.4" customHeight="1" x14ac:dyDescent="0.3">
      <c r="A80" s="16"/>
      <c r="B80" s="191" t="s">
        <v>167</v>
      </c>
      <c r="C80" s="44" t="s">
        <v>162</v>
      </c>
      <c r="D80" s="79" t="s">
        <v>224</v>
      </c>
      <c r="E80" s="79" t="s">
        <v>188</v>
      </c>
      <c r="F80" s="192" t="s">
        <v>339</v>
      </c>
      <c r="G80" s="154">
        <v>45352</v>
      </c>
      <c r="H80" s="193"/>
      <c r="I80" s="193"/>
      <c r="J80" s="194"/>
      <c r="K80" s="142"/>
    </row>
    <row r="81" spans="1:16" ht="14.4" customHeight="1" x14ac:dyDescent="0.3">
      <c r="A81" s="16"/>
      <c r="B81" s="191" t="s">
        <v>168</v>
      </c>
      <c r="C81" s="44" t="s">
        <v>162</v>
      </c>
      <c r="D81" s="79" t="s">
        <v>203</v>
      </c>
      <c r="E81" s="79" t="s">
        <v>62</v>
      </c>
      <c r="F81" s="192" t="s">
        <v>339</v>
      </c>
      <c r="G81" s="154">
        <v>45352</v>
      </c>
      <c r="H81" s="193"/>
      <c r="I81" s="193"/>
      <c r="J81" s="194"/>
      <c r="K81" s="142"/>
    </row>
    <row r="82" spans="1:16" ht="14.4" customHeight="1" x14ac:dyDescent="0.3">
      <c r="A82" s="16"/>
      <c r="B82" s="16" t="s">
        <v>251</v>
      </c>
      <c r="C82" s="44" t="s">
        <v>162</v>
      </c>
      <c r="D82" s="79" t="s">
        <v>252</v>
      </c>
      <c r="E82" s="79" t="s">
        <v>188</v>
      </c>
      <c r="F82" s="122">
        <v>1</v>
      </c>
      <c r="G82" s="154">
        <v>46143</v>
      </c>
      <c r="H82" s="136"/>
      <c r="I82" s="172">
        <f t="shared" ref="I82:I89" si="21">$M$47*H82^3+$N$47*H82^2+$O$47*H82+$P$47</f>
        <v>42.716944444444444</v>
      </c>
      <c r="J82" s="123">
        <f t="shared" ref="J82:J89" si="22">I82*$M$58</f>
        <v>42.716944444444444</v>
      </c>
      <c r="K82" s="142"/>
    </row>
    <row r="83" spans="1:16" ht="14.4" customHeight="1" x14ac:dyDescent="0.3">
      <c r="A83" s="16"/>
      <c r="B83" s="16" t="s">
        <v>468</v>
      </c>
      <c r="C83" s="44" t="s">
        <v>162</v>
      </c>
      <c r="D83" s="79" t="s">
        <v>252</v>
      </c>
      <c r="E83" s="79" t="s">
        <v>188</v>
      </c>
      <c r="F83" s="122">
        <v>1</v>
      </c>
      <c r="G83" s="154">
        <v>46143</v>
      </c>
      <c r="H83" s="136"/>
      <c r="I83" s="172">
        <f t="shared" si="21"/>
        <v>42.716944444444444</v>
      </c>
      <c r="J83" s="123">
        <f t="shared" si="22"/>
        <v>42.716944444444444</v>
      </c>
      <c r="K83" s="142"/>
    </row>
    <row r="84" spans="1:16" ht="14.4" customHeight="1" x14ac:dyDescent="0.3">
      <c r="A84" s="16"/>
      <c r="B84" s="16" t="s">
        <v>469</v>
      </c>
      <c r="C84" s="44" t="s">
        <v>162</v>
      </c>
      <c r="D84" s="79" t="s">
        <v>337</v>
      </c>
      <c r="E84" s="79" t="s">
        <v>188</v>
      </c>
      <c r="F84" s="122">
        <v>1</v>
      </c>
      <c r="G84" s="154">
        <v>46174</v>
      </c>
      <c r="H84" s="136">
        <f t="shared" ca="1" si="17"/>
        <v>0.21917808219178081</v>
      </c>
      <c r="I84" s="212">
        <f t="shared" ca="1" si="21"/>
        <v>42.501137467583639</v>
      </c>
      <c r="J84" s="123">
        <f t="shared" ca="1" si="22"/>
        <v>42.501137467583639</v>
      </c>
      <c r="K84" s="142"/>
    </row>
    <row r="85" spans="1:16" ht="14.4" customHeight="1" x14ac:dyDescent="0.3">
      <c r="A85" s="16"/>
      <c r="B85" s="36" t="s">
        <v>332</v>
      </c>
      <c r="C85" s="44" t="s">
        <v>162</v>
      </c>
      <c r="D85" s="79" t="s">
        <v>337</v>
      </c>
      <c r="E85" s="79" t="s">
        <v>188</v>
      </c>
      <c r="F85" s="122">
        <v>1</v>
      </c>
      <c r="G85" s="153">
        <v>46235</v>
      </c>
      <c r="H85" s="163">
        <f t="shared" ca="1" si="17"/>
        <v>5.2054794520547946E-2</v>
      </c>
      <c r="I85" s="173">
        <f t="shared" ca="1" si="21"/>
        <v>42.666310788762182</v>
      </c>
      <c r="J85" s="174">
        <f t="shared" ca="1" si="22"/>
        <v>42.666310788762182</v>
      </c>
      <c r="K85" s="142"/>
    </row>
    <row r="86" spans="1:16" ht="14.4" customHeight="1" x14ac:dyDescent="0.3">
      <c r="A86" s="16"/>
      <c r="B86" s="36" t="s">
        <v>333</v>
      </c>
      <c r="C86" s="44" t="s">
        <v>162</v>
      </c>
      <c r="D86" s="79" t="s">
        <v>337</v>
      </c>
      <c r="E86" s="79" t="s">
        <v>188</v>
      </c>
      <c r="F86" s="122">
        <v>1</v>
      </c>
      <c r="G86" s="153">
        <v>46266</v>
      </c>
      <c r="H86" s="163">
        <f t="shared" ca="1" si="17"/>
        <v>-3.287671232876712E-2</v>
      </c>
      <c r="I86" s="173">
        <f t="shared" ca="1" si="21"/>
        <v>42.748722911750043</v>
      </c>
      <c r="J86" s="174">
        <f t="shared" ca="1" si="22"/>
        <v>42.748722911750043</v>
      </c>
      <c r="K86" s="142"/>
      <c r="L86" s="142"/>
      <c r="M86" s="142"/>
      <c r="N86" s="142"/>
      <c r="O86" s="142"/>
      <c r="P86" s="142"/>
    </row>
    <row r="87" spans="1:16" s="142" customFormat="1" ht="14.4" customHeight="1" x14ac:dyDescent="0.3">
      <c r="A87" s="16"/>
      <c r="B87" s="36" t="s">
        <v>334</v>
      </c>
      <c r="C87" s="44" t="s">
        <v>162</v>
      </c>
      <c r="D87" s="79" t="s">
        <v>252</v>
      </c>
      <c r="E87" s="79" t="s">
        <v>188</v>
      </c>
      <c r="F87" s="122">
        <v>1</v>
      </c>
      <c r="G87" s="153">
        <v>46296</v>
      </c>
      <c r="H87" s="163">
        <f t="shared" ref="H87:H89" ca="1" si="23">(TODAY()-G87)/365</f>
        <v>-0.11506849315068493</v>
      </c>
      <c r="I87" s="173">
        <f t="shared" ca="1" si="21"/>
        <v>42.827485923360214</v>
      </c>
      <c r="J87" s="174">
        <f t="shared" ca="1" si="22"/>
        <v>42.827485923360214</v>
      </c>
    </row>
    <row r="88" spans="1:16" s="142" customFormat="1" ht="14.4" customHeight="1" x14ac:dyDescent="0.3">
      <c r="A88" s="16"/>
      <c r="B88" s="36" t="s">
        <v>335</v>
      </c>
      <c r="C88" s="44" t="s">
        <v>162</v>
      </c>
      <c r="D88" s="79" t="s">
        <v>252</v>
      </c>
      <c r="E88" s="79" t="s">
        <v>188</v>
      </c>
      <c r="F88" s="122">
        <v>1</v>
      </c>
      <c r="G88" s="153">
        <v>46327</v>
      </c>
      <c r="H88" s="163">
        <f t="shared" ca="1" si="23"/>
        <v>-0.2</v>
      </c>
      <c r="I88" s="173">
        <f t="shared" ca="1" si="21"/>
        <v>42.907842946031742</v>
      </c>
      <c r="J88" s="174">
        <f t="shared" ca="1" si="22"/>
        <v>42.907842946031742</v>
      </c>
    </row>
    <row r="89" spans="1:16" s="142" customFormat="1" ht="14.4" customHeight="1" x14ac:dyDescent="0.3">
      <c r="A89" s="16"/>
      <c r="B89" s="36" t="s">
        <v>336</v>
      </c>
      <c r="C89" s="44" t="s">
        <v>162</v>
      </c>
      <c r="D89" s="79" t="s">
        <v>252</v>
      </c>
      <c r="E89" s="79" t="s">
        <v>188</v>
      </c>
      <c r="F89" s="122">
        <v>1</v>
      </c>
      <c r="G89" s="153">
        <v>46357</v>
      </c>
      <c r="H89" s="163">
        <f t="shared" ca="1" si="23"/>
        <v>-0.28219178082191781</v>
      </c>
      <c r="I89" s="173">
        <f t="shared" ca="1" si="21"/>
        <v>42.984602242027584</v>
      </c>
      <c r="J89" s="174">
        <f t="shared" ca="1" si="22"/>
        <v>42.984602242027584</v>
      </c>
      <c r="L89"/>
      <c r="M89"/>
      <c r="N89"/>
      <c r="O89"/>
      <c r="P89"/>
    </row>
    <row r="90" spans="1:16" ht="14.4" customHeight="1" x14ac:dyDescent="0.3">
      <c r="A90" s="16"/>
      <c r="B90" s="16" t="s">
        <v>290</v>
      </c>
      <c r="C90" s="44" t="s">
        <v>169</v>
      </c>
      <c r="D90" s="79" t="s">
        <v>253</v>
      </c>
      <c r="E90" s="79" t="s">
        <v>188</v>
      </c>
      <c r="F90" s="122">
        <v>1</v>
      </c>
      <c r="G90" s="161">
        <v>42005</v>
      </c>
      <c r="H90" s="162">
        <f t="shared" ca="1" si="17"/>
        <v>11.641095890410959</v>
      </c>
      <c r="I90" s="172">
        <f ca="1">$M$48*H90^3+$N$48*H90^2+$O$48*H90+$P$48</f>
        <v>24.76292782245196</v>
      </c>
      <c r="J90" s="123">
        <f t="shared" ref="J90:J98" ca="1" si="24">I90*$M$58</f>
        <v>24.76292782245196</v>
      </c>
      <c r="K90" s="142"/>
    </row>
    <row r="91" spans="1:16" ht="14.4" customHeight="1" x14ac:dyDescent="0.3">
      <c r="A91" s="16"/>
      <c r="B91" s="16" t="s">
        <v>170</v>
      </c>
      <c r="C91" s="143" t="s">
        <v>169</v>
      </c>
      <c r="D91" s="79" t="s">
        <v>253</v>
      </c>
      <c r="E91" s="79" t="s">
        <v>188</v>
      </c>
      <c r="F91" s="122">
        <v>1</v>
      </c>
      <c r="G91" s="161">
        <v>42005</v>
      </c>
      <c r="H91" s="162">
        <f t="shared" ca="1" si="17"/>
        <v>11.641095890410959</v>
      </c>
      <c r="I91" s="172">
        <f t="shared" ref="I91:I107" ca="1" si="25">$M$48*H91^3+$N$48*H91^2+$O$48*H91+$P$48</f>
        <v>24.76292782245196</v>
      </c>
      <c r="J91" s="123">
        <f t="shared" ca="1" si="24"/>
        <v>24.76292782245196</v>
      </c>
      <c r="K91" s="142"/>
    </row>
    <row r="92" spans="1:16" ht="14.4" customHeight="1" x14ac:dyDescent="0.3">
      <c r="A92" s="16"/>
      <c r="B92" s="16" t="s">
        <v>171</v>
      </c>
      <c r="C92" s="143" t="s">
        <v>169</v>
      </c>
      <c r="D92" s="79" t="s">
        <v>253</v>
      </c>
      <c r="E92" s="79" t="s">
        <v>188</v>
      </c>
      <c r="F92" s="122">
        <v>1</v>
      </c>
      <c r="G92" s="161">
        <v>42005</v>
      </c>
      <c r="H92" s="162">
        <f t="shared" ca="1" si="17"/>
        <v>11.641095890410959</v>
      </c>
      <c r="I92" s="172">
        <f t="shared" ca="1" si="25"/>
        <v>24.76292782245196</v>
      </c>
      <c r="J92" s="123">
        <f t="shared" ca="1" si="24"/>
        <v>24.76292782245196</v>
      </c>
      <c r="K92" s="142"/>
    </row>
    <row r="93" spans="1:16" ht="14.4" customHeight="1" x14ac:dyDescent="0.3">
      <c r="A93" s="16"/>
      <c r="B93" s="16" t="s">
        <v>172</v>
      </c>
      <c r="C93" s="143" t="s">
        <v>169</v>
      </c>
      <c r="D93" s="79" t="s">
        <v>253</v>
      </c>
      <c r="E93" s="79" t="s">
        <v>188</v>
      </c>
      <c r="F93" s="122">
        <v>1</v>
      </c>
      <c r="G93" s="161">
        <v>42005</v>
      </c>
      <c r="H93" s="162">
        <f t="shared" ca="1" si="17"/>
        <v>11.641095890410959</v>
      </c>
      <c r="I93" s="172">
        <f t="shared" ca="1" si="25"/>
        <v>24.76292782245196</v>
      </c>
      <c r="J93" s="123">
        <f t="shared" ca="1" si="24"/>
        <v>24.76292782245196</v>
      </c>
      <c r="K93" s="142"/>
    </row>
    <row r="94" spans="1:16" ht="14.4" customHeight="1" x14ac:dyDescent="0.3">
      <c r="A94" s="142"/>
      <c r="B94" s="16" t="s">
        <v>173</v>
      </c>
      <c r="C94" s="143" t="s">
        <v>169</v>
      </c>
      <c r="D94" s="79" t="s">
        <v>253</v>
      </c>
      <c r="E94" s="79" t="s">
        <v>188</v>
      </c>
      <c r="F94" s="122">
        <v>1</v>
      </c>
      <c r="G94" s="161">
        <v>42370</v>
      </c>
      <c r="H94" s="162">
        <f t="shared" ca="1" si="17"/>
        <v>10.641095890410959</v>
      </c>
      <c r="I94" s="172">
        <f t="shared" ca="1" si="25"/>
        <v>26.465999017857751</v>
      </c>
      <c r="J94" s="123">
        <f t="shared" ca="1" si="24"/>
        <v>26.465999017857751</v>
      </c>
      <c r="K94" s="142"/>
    </row>
    <row r="95" spans="1:16" ht="14.4" customHeight="1" x14ac:dyDescent="0.3">
      <c r="A95" s="16"/>
      <c r="B95" s="16" t="s">
        <v>174</v>
      </c>
      <c r="C95" s="143" t="s">
        <v>169</v>
      </c>
      <c r="D95" s="79" t="s">
        <v>253</v>
      </c>
      <c r="E95" s="79" t="s">
        <v>188</v>
      </c>
      <c r="F95" s="122">
        <v>1</v>
      </c>
      <c r="G95" s="161">
        <v>42370</v>
      </c>
      <c r="H95" s="162">
        <f t="shared" ca="1" si="17"/>
        <v>10.641095890410959</v>
      </c>
      <c r="I95" s="172">
        <f t="shared" ca="1" si="25"/>
        <v>26.465999017857751</v>
      </c>
      <c r="J95" s="123">
        <f t="shared" ca="1" si="24"/>
        <v>26.465999017857751</v>
      </c>
      <c r="K95" s="142"/>
    </row>
    <row r="96" spans="1:16" ht="14.4" customHeight="1" x14ac:dyDescent="0.3">
      <c r="A96" s="142"/>
      <c r="B96" s="16" t="s">
        <v>307</v>
      </c>
      <c r="C96" s="143" t="s">
        <v>169</v>
      </c>
      <c r="D96" s="79" t="s">
        <v>308</v>
      </c>
      <c r="E96" s="79" t="s">
        <v>188</v>
      </c>
      <c r="F96" s="122">
        <v>1</v>
      </c>
      <c r="G96" s="161">
        <v>41640</v>
      </c>
      <c r="H96" s="162">
        <f t="shared" ca="1" si="17"/>
        <v>12.641095890410959</v>
      </c>
      <c r="I96" s="172">
        <f t="shared" ca="1" si="25"/>
        <v>23.063042471795029</v>
      </c>
      <c r="J96" s="123">
        <f t="shared" ca="1" si="24"/>
        <v>23.063042471795029</v>
      </c>
      <c r="K96" s="142"/>
    </row>
    <row r="97" spans="1:16" ht="14.4" customHeight="1" x14ac:dyDescent="0.3">
      <c r="A97" s="142"/>
      <c r="B97" s="16" t="s">
        <v>310</v>
      </c>
      <c r="C97" s="143" t="s">
        <v>169</v>
      </c>
      <c r="D97" s="79" t="s">
        <v>309</v>
      </c>
      <c r="E97" s="79" t="s">
        <v>188</v>
      </c>
      <c r="F97" s="122">
        <v>1</v>
      </c>
      <c r="G97" s="161">
        <v>42005</v>
      </c>
      <c r="H97" s="162">
        <f t="shared" ca="1" si="17"/>
        <v>11.641095890410959</v>
      </c>
      <c r="I97" s="172">
        <f t="shared" ca="1" si="25"/>
        <v>24.76292782245196</v>
      </c>
      <c r="J97" s="123">
        <f t="shared" ca="1" si="24"/>
        <v>24.76292782245196</v>
      </c>
      <c r="K97" s="142"/>
      <c r="L97" s="142"/>
      <c r="M97" s="142"/>
      <c r="N97" s="142"/>
      <c r="O97" s="142"/>
      <c r="P97" s="142"/>
    </row>
    <row r="98" spans="1:16" s="142" customFormat="1" ht="14.4" customHeight="1" x14ac:dyDescent="0.3">
      <c r="A98" s="16"/>
      <c r="B98" s="16" t="s">
        <v>311</v>
      </c>
      <c r="C98" s="143" t="s">
        <v>169</v>
      </c>
      <c r="D98" s="79" t="s">
        <v>309</v>
      </c>
      <c r="E98" s="79" t="s">
        <v>188</v>
      </c>
      <c r="F98" s="122">
        <v>1</v>
      </c>
      <c r="G98" s="161">
        <v>42736</v>
      </c>
      <c r="H98" s="162">
        <f t="shared" ca="1" si="17"/>
        <v>9.6383561643835609</v>
      </c>
      <c r="I98" s="172">
        <f t="shared" ca="1" si="25"/>
        <v>28.167498992764632</v>
      </c>
      <c r="J98" s="123">
        <f t="shared" ca="1" si="24"/>
        <v>28.167498992764632</v>
      </c>
      <c r="K98"/>
    </row>
    <row r="99" spans="1:16" s="142" customFormat="1" ht="14.4" customHeight="1" x14ac:dyDescent="0.3">
      <c r="A99" s="16"/>
      <c r="B99" s="16" t="s">
        <v>314</v>
      </c>
      <c r="C99" s="143" t="s">
        <v>169</v>
      </c>
      <c r="D99" s="79" t="s">
        <v>213</v>
      </c>
      <c r="E99" s="79" t="s">
        <v>62</v>
      </c>
      <c r="F99" s="122">
        <v>1</v>
      </c>
      <c r="G99" s="161">
        <v>40909</v>
      </c>
      <c r="H99" s="162">
        <f t="shared" ca="1" si="17"/>
        <v>14.643835616438356</v>
      </c>
      <c r="I99" s="172">
        <f t="shared" ca="1" si="25"/>
        <v>19.705861044959434</v>
      </c>
      <c r="J99" s="123">
        <f t="shared" ref="J99:J100" ca="1" si="26">I99*$M$54</f>
        <v>21.085271318106596</v>
      </c>
      <c r="K99"/>
    </row>
    <row r="100" spans="1:16" s="142" customFormat="1" ht="14.4" customHeight="1" x14ac:dyDescent="0.3">
      <c r="A100" s="16"/>
      <c r="B100" s="16" t="s">
        <v>315</v>
      </c>
      <c r="C100" s="143" t="s">
        <v>169</v>
      </c>
      <c r="D100" s="79" t="s">
        <v>213</v>
      </c>
      <c r="E100" s="79" t="s">
        <v>62</v>
      </c>
      <c r="F100" s="122">
        <v>1</v>
      </c>
      <c r="G100" s="161">
        <v>41275</v>
      </c>
      <c r="H100" s="162">
        <f t="shared" ca="1" si="17"/>
        <v>13.641095890410959</v>
      </c>
      <c r="I100" s="172">
        <f t="shared" ca="1" si="25"/>
        <v>21.375731854775843</v>
      </c>
      <c r="J100" s="123">
        <f t="shared" ca="1" si="26"/>
        <v>22.872033084610152</v>
      </c>
      <c r="K100"/>
    </row>
    <row r="101" spans="1:16" s="142" customFormat="1" ht="14.4" customHeight="1" x14ac:dyDescent="0.3">
      <c r="A101"/>
      <c r="B101" s="16" t="s">
        <v>316</v>
      </c>
      <c r="C101" s="143" t="s">
        <v>169</v>
      </c>
      <c r="D101" s="79" t="s">
        <v>187</v>
      </c>
      <c r="E101" s="79" t="s">
        <v>188</v>
      </c>
      <c r="F101" s="122">
        <v>1</v>
      </c>
      <c r="G101" s="161">
        <v>42370</v>
      </c>
      <c r="H101" s="162">
        <f t="shared" ca="1" si="17"/>
        <v>10.641095890410959</v>
      </c>
      <c r="I101" s="172">
        <f t="shared" ca="1" si="25"/>
        <v>26.465999017857751</v>
      </c>
      <c r="J101" s="123">
        <f t="shared" ref="J101:J104" ca="1" si="27">I101*$M$58</f>
        <v>26.465999017857751</v>
      </c>
      <c r="K101"/>
    </row>
    <row r="102" spans="1:16" s="142" customFormat="1" ht="14.4" customHeight="1" x14ac:dyDescent="0.3">
      <c r="A102" s="16"/>
      <c r="B102" s="16" t="s">
        <v>318</v>
      </c>
      <c r="C102" s="143" t="s">
        <v>169</v>
      </c>
      <c r="D102" s="79" t="s">
        <v>187</v>
      </c>
      <c r="E102" s="79" t="s">
        <v>188</v>
      </c>
      <c r="F102" s="122">
        <v>1</v>
      </c>
      <c r="G102" s="161">
        <v>42005</v>
      </c>
      <c r="H102" s="162">
        <f t="shared" ca="1" si="17"/>
        <v>11.641095890410959</v>
      </c>
      <c r="I102" s="172">
        <f t="shared" ca="1" si="25"/>
        <v>24.76292782245196</v>
      </c>
      <c r="J102" s="123">
        <f t="shared" ca="1" si="27"/>
        <v>24.76292782245196</v>
      </c>
      <c r="K102"/>
    </row>
    <row r="103" spans="1:16" s="142" customFormat="1" ht="14.4" customHeight="1" x14ac:dyDescent="0.3">
      <c r="A103" s="16"/>
      <c r="B103" s="16" t="s">
        <v>175</v>
      </c>
      <c r="C103" s="143" t="s">
        <v>169</v>
      </c>
      <c r="D103" s="79" t="s">
        <v>187</v>
      </c>
      <c r="E103" s="79" t="s">
        <v>188</v>
      </c>
      <c r="F103" s="122">
        <v>1</v>
      </c>
      <c r="G103" s="161">
        <v>42005</v>
      </c>
      <c r="H103" s="162">
        <f t="shared" ca="1" si="17"/>
        <v>11.641095890410959</v>
      </c>
      <c r="I103" s="172">
        <f t="shared" ca="1" si="25"/>
        <v>24.76292782245196</v>
      </c>
      <c r="J103" s="123">
        <f t="shared" ca="1" si="27"/>
        <v>24.76292782245196</v>
      </c>
      <c r="K103"/>
      <c r="L103"/>
      <c r="M103"/>
      <c r="N103"/>
      <c r="O103"/>
      <c r="P103"/>
    </row>
    <row r="104" spans="1:16" ht="14.4" customHeight="1" x14ac:dyDescent="0.3">
      <c r="A104" s="16"/>
      <c r="B104" s="16" t="s">
        <v>317</v>
      </c>
      <c r="C104" s="143" t="s">
        <v>169</v>
      </c>
      <c r="D104" s="79" t="s">
        <v>187</v>
      </c>
      <c r="E104" s="79" t="s">
        <v>188</v>
      </c>
      <c r="F104" s="122">
        <v>1</v>
      </c>
      <c r="G104" s="161">
        <v>42005</v>
      </c>
      <c r="H104" s="162">
        <f t="shared" ca="1" si="17"/>
        <v>11.641095890410959</v>
      </c>
      <c r="I104" s="172">
        <f t="shared" ca="1" si="25"/>
        <v>24.76292782245196</v>
      </c>
      <c r="J104" s="123">
        <f t="shared" ca="1" si="27"/>
        <v>24.76292782245196</v>
      </c>
      <c r="K104" s="142"/>
    </row>
    <row r="105" spans="1:16" ht="14.4" customHeight="1" x14ac:dyDescent="0.3">
      <c r="A105" s="16"/>
      <c r="B105" s="16" t="s">
        <v>321</v>
      </c>
      <c r="C105" s="143" t="s">
        <v>169</v>
      </c>
      <c r="D105" s="79" t="s">
        <v>203</v>
      </c>
      <c r="E105" s="79" t="s">
        <v>62</v>
      </c>
      <c r="F105" s="122">
        <v>1</v>
      </c>
      <c r="G105" s="161">
        <v>42005</v>
      </c>
      <c r="H105" s="162">
        <f t="shared" ca="1" si="17"/>
        <v>11.641095890410959</v>
      </c>
      <c r="I105" s="172">
        <f t="shared" ca="1" si="25"/>
        <v>24.76292782245196</v>
      </c>
      <c r="J105" s="123">
        <f t="shared" ref="J105:J107" ca="1" si="28">I105*$M$54</f>
        <v>26.496332770023599</v>
      </c>
      <c r="K105" s="142"/>
    </row>
    <row r="106" spans="1:16" ht="14.4" customHeight="1" x14ac:dyDescent="0.3">
      <c r="A106" s="16"/>
      <c r="B106" s="16" t="s">
        <v>322</v>
      </c>
      <c r="C106" s="143" t="s">
        <v>169</v>
      </c>
      <c r="D106" s="79" t="s">
        <v>203</v>
      </c>
      <c r="E106" s="79" t="s">
        <v>62</v>
      </c>
      <c r="F106" s="122">
        <v>1</v>
      </c>
      <c r="G106" s="161">
        <v>42005</v>
      </c>
      <c r="H106" s="162">
        <f t="shared" ca="1" si="17"/>
        <v>11.641095890410959</v>
      </c>
      <c r="I106" s="172">
        <f t="shared" ca="1" si="25"/>
        <v>24.76292782245196</v>
      </c>
      <c r="J106" s="123">
        <f t="shared" ca="1" si="28"/>
        <v>26.496332770023599</v>
      </c>
      <c r="K106" s="142"/>
    </row>
    <row r="107" spans="1:16" ht="14.4" customHeight="1" x14ac:dyDescent="0.3">
      <c r="A107" s="16"/>
      <c r="B107" s="16" t="s">
        <v>323</v>
      </c>
      <c r="C107" s="143" t="s">
        <v>169</v>
      </c>
      <c r="D107" s="79" t="s">
        <v>203</v>
      </c>
      <c r="E107" s="79" t="s">
        <v>62</v>
      </c>
      <c r="F107" s="122">
        <v>1</v>
      </c>
      <c r="G107" s="161">
        <v>42005</v>
      </c>
      <c r="H107" s="162">
        <f t="shared" ca="1" si="17"/>
        <v>11.641095890410959</v>
      </c>
      <c r="I107" s="172">
        <f t="shared" ca="1" si="25"/>
        <v>24.76292782245196</v>
      </c>
      <c r="J107" s="123">
        <f t="shared" ca="1" si="28"/>
        <v>26.496332770023599</v>
      </c>
      <c r="K107" s="142"/>
    </row>
    <row r="108" spans="1:16" ht="14.4" customHeight="1" x14ac:dyDescent="0.3">
      <c r="A108" s="16"/>
      <c r="B108" s="191" t="s">
        <v>176</v>
      </c>
      <c r="C108" s="44" t="s">
        <v>169</v>
      </c>
      <c r="D108" s="79" t="s">
        <v>330</v>
      </c>
      <c r="E108" s="79" t="s">
        <v>331</v>
      </c>
      <c r="F108" s="192" t="s">
        <v>339</v>
      </c>
      <c r="G108" s="154">
        <v>45352</v>
      </c>
      <c r="H108" s="193"/>
      <c r="I108" s="193"/>
      <c r="J108" s="194"/>
    </row>
    <row r="109" spans="1:16" ht="14.4" customHeight="1" x14ac:dyDescent="0.3">
      <c r="A109" s="16"/>
      <c r="B109" s="191" t="s">
        <v>177</v>
      </c>
      <c r="C109" s="44" t="s">
        <v>169</v>
      </c>
      <c r="D109" s="79" t="s">
        <v>330</v>
      </c>
      <c r="E109" s="79" t="s">
        <v>331</v>
      </c>
      <c r="F109" s="192" t="s">
        <v>339</v>
      </c>
      <c r="G109" s="154">
        <v>45352</v>
      </c>
      <c r="H109" s="193"/>
      <c r="I109" s="193"/>
      <c r="J109" s="194"/>
      <c r="L109" s="142"/>
      <c r="M109" s="142"/>
      <c r="N109" s="142"/>
      <c r="O109" s="142"/>
      <c r="P109" s="142"/>
    </row>
    <row r="110" spans="1:16" s="142" customFormat="1" ht="14.4" customHeight="1" x14ac:dyDescent="0.3">
      <c r="A110" s="16"/>
      <c r="B110" s="191" t="s">
        <v>328</v>
      </c>
      <c r="C110" s="44" t="s">
        <v>169</v>
      </c>
      <c r="D110" s="79" t="s">
        <v>329</v>
      </c>
      <c r="E110" s="79" t="s">
        <v>62</v>
      </c>
      <c r="F110" s="192" t="s">
        <v>339</v>
      </c>
      <c r="G110" s="154">
        <v>45383</v>
      </c>
      <c r="H110" s="193"/>
      <c r="I110" s="193"/>
      <c r="J110" s="194"/>
      <c r="L110"/>
      <c r="M110"/>
      <c r="N110"/>
      <c r="O110"/>
      <c r="P110"/>
    </row>
    <row r="111" spans="1:16" s="6" customFormat="1" ht="14.4" customHeight="1" x14ac:dyDescent="0.3">
      <c r="A111" s="16"/>
      <c r="B111" s="141" t="s">
        <v>277</v>
      </c>
      <c r="C111" s="78" t="s">
        <v>169</v>
      </c>
      <c r="D111" s="79" t="s">
        <v>276</v>
      </c>
      <c r="E111" s="79" t="s">
        <v>188</v>
      </c>
      <c r="F111" s="122">
        <v>1</v>
      </c>
      <c r="G111" s="164">
        <v>42736</v>
      </c>
      <c r="H111" s="165">
        <f t="shared" ca="1" si="17"/>
        <v>9.6383561643835609</v>
      </c>
      <c r="I111" s="172">
        <f t="shared" ref="I111:I139" ca="1" si="29">$M$48*H111^3+$N$48*H111^2+$O$48*H111+$P$48</f>
        <v>28.167498992764632</v>
      </c>
      <c r="J111" s="123">
        <f t="shared" ref="J111:J127" ca="1" si="30">I111*$M$58</f>
        <v>28.167498992764632</v>
      </c>
      <c r="K111"/>
      <c r="L111"/>
      <c r="M111"/>
      <c r="N111"/>
      <c r="O111"/>
      <c r="P111"/>
    </row>
    <row r="112" spans="1:16" ht="14.4" customHeight="1" x14ac:dyDescent="0.3">
      <c r="A112" s="16"/>
      <c r="B112" s="16" t="s">
        <v>293</v>
      </c>
      <c r="C112" s="143" t="s">
        <v>169</v>
      </c>
      <c r="D112" s="79" t="s">
        <v>276</v>
      </c>
      <c r="E112" s="79" t="s">
        <v>188</v>
      </c>
      <c r="F112" s="122">
        <v>1</v>
      </c>
      <c r="G112" s="161">
        <v>42736</v>
      </c>
      <c r="H112" s="162">
        <f t="shared" ca="1" si="17"/>
        <v>9.6383561643835609</v>
      </c>
      <c r="I112" s="172">
        <f t="shared" ca="1" si="29"/>
        <v>28.167498992764632</v>
      </c>
      <c r="J112" s="123">
        <f t="shared" ca="1" si="30"/>
        <v>28.167498992764632</v>
      </c>
    </row>
    <row r="113" spans="1:11" ht="14.4" customHeight="1" x14ac:dyDescent="0.3">
      <c r="A113" s="16"/>
      <c r="B113" s="16" t="s">
        <v>289</v>
      </c>
      <c r="C113" s="143" t="s">
        <v>169</v>
      </c>
      <c r="D113" s="79" t="s">
        <v>283</v>
      </c>
      <c r="E113" s="79" t="s">
        <v>188</v>
      </c>
      <c r="F113" s="122">
        <v>1</v>
      </c>
      <c r="G113" s="161">
        <v>42370</v>
      </c>
      <c r="H113" s="162">
        <f t="shared" ca="1" si="17"/>
        <v>10.641095890410959</v>
      </c>
      <c r="I113" s="172">
        <f t="shared" ca="1" si="29"/>
        <v>26.465999017857751</v>
      </c>
      <c r="J113" s="123">
        <f t="shared" ca="1" si="30"/>
        <v>26.465999017857751</v>
      </c>
    </row>
    <row r="114" spans="1:11" ht="14.4" customHeight="1" x14ac:dyDescent="0.3">
      <c r="A114" s="16"/>
      <c r="B114" s="16" t="s">
        <v>291</v>
      </c>
      <c r="C114" s="143" t="s">
        <v>169</v>
      </c>
      <c r="D114" s="79" t="s">
        <v>292</v>
      </c>
      <c r="E114" s="79" t="s">
        <v>188</v>
      </c>
      <c r="F114" s="122">
        <v>1</v>
      </c>
      <c r="G114" s="161">
        <v>42370</v>
      </c>
      <c r="H114" s="162">
        <f t="shared" ca="1" si="17"/>
        <v>10.641095890410959</v>
      </c>
      <c r="I114" s="172">
        <f t="shared" ca="1" si="29"/>
        <v>26.465999017857751</v>
      </c>
      <c r="J114" s="123">
        <f t="shared" ca="1" si="30"/>
        <v>26.465999017857751</v>
      </c>
    </row>
    <row r="115" spans="1:11" ht="14.4" customHeight="1" x14ac:dyDescent="0.3">
      <c r="B115" s="16" t="s">
        <v>312</v>
      </c>
      <c r="C115" s="143" t="s">
        <v>169</v>
      </c>
      <c r="D115" s="79" t="s">
        <v>313</v>
      </c>
      <c r="E115" s="79" t="s">
        <v>188</v>
      </c>
      <c r="F115" s="122">
        <v>1</v>
      </c>
      <c r="G115" s="161">
        <v>42370</v>
      </c>
      <c r="H115" s="162">
        <f t="shared" ca="1" si="17"/>
        <v>10.641095890410959</v>
      </c>
      <c r="I115" s="172">
        <f t="shared" ca="1" si="29"/>
        <v>26.465999017857751</v>
      </c>
      <c r="J115" s="123">
        <f t="shared" ca="1" si="30"/>
        <v>26.465999017857751</v>
      </c>
    </row>
    <row r="116" spans="1:11" ht="14.4" customHeight="1" x14ac:dyDescent="0.3">
      <c r="A116" s="16"/>
      <c r="B116" s="16" t="s">
        <v>305</v>
      </c>
      <c r="C116" s="143" t="s">
        <v>169</v>
      </c>
      <c r="D116" s="79" t="s">
        <v>276</v>
      </c>
      <c r="E116" s="79" t="s">
        <v>188</v>
      </c>
      <c r="F116" s="122">
        <v>1</v>
      </c>
      <c r="G116" s="161">
        <v>42370</v>
      </c>
      <c r="H116" s="162">
        <f t="shared" ca="1" si="17"/>
        <v>10.641095890410959</v>
      </c>
      <c r="I116" s="172">
        <f t="shared" ca="1" si="29"/>
        <v>26.465999017857751</v>
      </c>
      <c r="J116" s="123">
        <f t="shared" ca="1" si="30"/>
        <v>26.465999017857751</v>
      </c>
    </row>
    <row r="117" spans="1:11" ht="14.4" customHeight="1" x14ac:dyDescent="0.3">
      <c r="A117" s="142"/>
      <c r="B117" s="16" t="s">
        <v>286</v>
      </c>
      <c r="C117" s="143" t="s">
        <v>169</v>
      </c>
      <c r="D117" s="79" t="s">
        <v>283</v>
      </c>
      <c r="E117" s="79" t="s">
        <v>188</v>
      </c>
      <c r="F117" s="122">
        <v>1</v>
      </c>
      <c r="G117" s="161">
        <v>42005</v>
      </c>
      <c r="H117" s="162">
        <f t="shared" ca="1" si="17"/>
        <v>11.641095890410959</v>
      </c>
      <c r="I117" s="172">
        <f t="shared" ca="1" si="29"/>
        <v>24.76292782245196</v>
      </c>
      <c r="J117" s="123">
        <f t="shared" ca="1" si="30"/>
        <v>24.76292782245196</v>
      </c>
      <c r="K117" s="142"/>
    </row>
    <row r="118" spans="1:11" ht="14.4" customHeight="1" x14ac:dyDescent="0.3">
      <c r="A118" s="16"/>
      <c r="B118" s="16" t="s">
        <v>272</v>
      </c>
      <c r="C118" s="143" t="s">
        <v>169</v>
      </c>
      <c r="D118" s="79" t="s">
        <v>273</v>
      </c>
      <c r="E118" s="79" t="s">
        <v>188</v>
      </c>
      <c r="F118" s="122">
        <v>1</v>
      </c>
      <c r="G118" s="161">
        <v>42005</v>
      </c>
      <c r="H118" s="162">
        <f t="shared" ca="1" si="17"/>
        <v>11.641095890410959</v>
      </c>
      <c r="I118" s="172">
        <f t="shared" ca="1" si="29"/>
        <v>24.76292782245196</v>
      </c>
      <c r="J118" s="123">
        <f t="shared" ca="1" si="30"/>
        <v>24.76292782245196</v>
      </c>
      <c r="K118" s="142"/>
    </row>
    <row r="119" spans="1:11" ht="14.4" customHeight="1" x14ac:dyDescent="0.3">
      <c r="A119" s="142"/>
      <c r="B119" s="16" t="s">
        <v>288</v>
      </c>
      <c r="C119" s="143" t="s">
        <v>169</v>
      </c>
      <c r="D119" s="79" t="s">
        <v>283</v>
      </c>
      <c r="E119" s="79" t="s">
        <v>188</v>
      </c>
      <c r="F119" s="122">
        <v>1</v>
      </c>
      <c r="G119" s="161">
        <v>42005</v>
      </c>
      <c r="H119" s="162">
        <f t="shared" ca="1" si="17"/>
        <v>11.641095890410959</v>
      </c>
      <c r="I119" s="172">
        <f t="shared" ca="1" si="29"/>
        <v>24.76292782245196</v>
      </c>
      <c r="J119" s="123">
        <f t="shared" ca="1" si="30"/>
        <v>24.76292782245196</v>
      </c>
      <c r="K119" s="142"/>
    </row>
    <row r="120" spans="1:11" ht="14.4" customHeight="1" x14ac:dyDescent="0.3">
      <c r="A120" s="142"/>
      <c r="B120" s="16" t="s">
        <v>284</v>
      </c>
      <c r="C120" s="143" t="s">
        <v>169</v>
      </c>
      <c r="D120" s="79" t="s">
        <v>283</v>
      </c>
      <c r="E120" s="79" t="s">
        <v>188</v>
      </c>
      <c r="F120" s="122">
        <v>1</v>
      </c>
      <c r="G120" s="161">
        <v>42005</v>
      </c>
      <c r="H120" s="162">
        <f t="shared" ca="1" si="17"/>
        <v>11.641095890410959</v>
      </c>
      <c r="I120" s="172">
        <f t="shared" ca="1" si="29"/>
        <v>24.76292782245196</v>
      </c>
      <c r="J120" s="123">
        <f t="shared" ca="1" si="30"/>
        <v>24.76292782245196</v>
      </c>
      <c r="K120" s="142"/>
    </row>
    <row r="121" spans="1:11" ht="14.4" customHeight="1" x14ac:dyDescent="0.3">
      <c r="A121" s="16"/>
      <c r="B121" s="16" t="s">
        <v>280</v>
      </c>
      <c r="C121" s="143" t="s">
        <v>169</v>
      </c>
      <c r="D121" s="79" t="s">
        <v>276</v>
      </c>
      <c r="E121" s="79" t="s">
        <v>188</v>
      </c>
      <c r="F121" s="122">
        <v>1</v>
      </c>
      <c r="G121" s="161">
        <v>42005</v>
      </c>
      <c r="H121" s="162">
        <f t="shared" ca="1" si="17"/>
        <v>11.641095890410959</v>
      </c>
      <c r="I121" s="172">
        <f t="shared" ca="1" si="29"/>
        <v>24.76292782245196</v>
      </c>
      <c r="J121" s="123">
        <f t="shared" ca="1" si="30"/>
        <v>24.76292782245196</v>
      </c>
      <c r="K121" s="142"/>
    </row>
    <row r="122" spans="1:11" ht="14.4" customHeight="1" x14ac:dyDescent="0.3">
      <c r="A122" s="16"/>
      <c r="B122" s="16" t="s">
        <v>306</v>
      </c>
      <c r="C122" s="143" t="s">
        <v>169</v>
      </c>
      <c r="D122" s="79" t="s">
        <v>298</v>
      </c>
      <c r="E122" s="79" t="s">
        <v>188</v>
      </c>
      <c r="F122" s="122">
        <v>1</v>
      </c>
      <c r="G122" s="161">
        <v>42005</v>
      </c>
      <c r="H122" s="162">
        <f t="shared" ca="1" si="17"/>
        <v>11.641095890410959</v>
      </c>
      <c r="I122" s="172">
        <f t="shared" ca="1" si="29"/>
        <v>24.76292782245196</v>
      </c>
      <c r="J122" s="123">
        <f t="shared" ca="1" si="30"/>
        <v>24.76292782245196</v>
      </c>
      <c r="K122" s="142"/>
    </row>
    <row r="123" spans="1:11" ht="14.4" customHeight="1" x14ac:dyDescent="0.3">
      <c r="A123" s="16"/>
      <c r="B123" s="16" t="s">
        <v>275</v>
      </c>
      <c r="C123" s="143" t="s">
        <v>169</v>
      </c>
      <c r="D123" s="79" t="s">
        <v>276</v>
      </c>
      <c r="E123" s="79" t="s">
        <v>188</v>
      </c>
      <c r="F123" s="122">
        <v>1</v>
      </c>
      <c r="G123" s="161">
        <v>42005</v>
      </c>
      <c r="H123" s="162">
        <f t="shared" ca="1" si="17"/>
        <v>11.641095890410959</v>
      </c>
      <c r="I123" s="172">
        <f t="shared" ca="1" si="29"/>
        <v>24.76292782245196</v>
      </c>
      <c r="J123" s="123">
        <f t="shared" ca="1" si="30"/>
        <v>24.76292782245196</v>
      </c>
      <c r="K123" s="142"/>
    </row>
    <row r="124" spans="1:11" ht="14.4" customHeight="1" x14ac:dyDescent="0.3">
      <c r="A124" s="142"/>
      <c r="B124" s="16" t="s">
        <v>285</v>
      </c>
      <c r="C124" s="143" t="s">
        <v>169</v>
      </c>
      <c r="D124" s="79" t="s">
        <v>283</v>
      </c>
      <c r="E124" s="79" t="s">
        <v>188</v>
      </c>
      <c r="F124" s="122">
        <v>1</v>
      </c>
      <c r="G124" s="161">
        <v>42005</v>
      </c>
      <c r="H124" s="162">
        <f t="shared" ca="1" si="17"/>
        <v>11.641095890410959</v>
      </c>
      <c r="I124" s="172">
        <f t="shared" ca="1" si="29"/>
        <v>24.76292782245196</v>
      </c>
      <c r="J124" s="123">
        <f t="shared" ca="1" si="30"/>
        <v>24.76292782245196</v>
      </c>
      <c r="K124" s="142"/>
    </row>
    <row r="125" spans="1:11" ht="14.4" customHeight="1" x14ac:dyDescent="0.3">
      <c r="A125" s="16"/>
      <c r="B125" s="16" t="s">
        <v>287</v>
      </c>
      <c r="C125" s="143" t="s">
        <v>169</v>
      </c>
      <c r="D125" s="79" t="s">
        <v>283</v>
      </c>
      <c r="E125" s="79" t="s">
        <v>188</v>
      </c>
      <c r="F125" s="122">
        <v>1</v>
      </c>
      <c r="G125" s="161">
        <v>42005</v>
      </c>
      <c r="H125" s="162">
        <f t="shared" ca="1" si="17"/>
        <v>11.641095890410959</v>
      </c>
      <c r="I125" s="172">
        <f t="shared" ca="1" si="29"/>
        <v>24.76292782245196</v>
      </c>
      <c r="J125" s="123">
        <f t="shared" ca="1" si="30"/>
        <v>24.76292782245196</v>
      </c>
      <c r="K125" s="142"/>
    </row>
    <row r="126" spans="1:11" ht="14.4" customHeight="1" x14ac:dyDescent="0.3">
      <c r="A126" s="16"/>
      <c r="B126" s="16" t="s">
        <v>282</v>
      </c>
      <c r="C126" s="143" t="s">
        <v>169</v>
      </c>
      <c r="D126" s="79" t="s">
        <v>283</v>
      </c>
      <c r="E126" s="79" t="s">
        <v>188</v>
      </c>
      <c r="F126" s="122">
        <v>1</v>
      </c>
      <c r="G126" s="161">
        <v>42005</v>
      </c>
      <c r="H126" s="162">
        <f t="shared" ca="1" si="17"/>
        <v>11.641095890410959</v>
      </c>
      <c r="I126" s="172">
        <f t="shared" ca="1" si="29"/>
        <v>24.76292782245196</v>
      </c>
      <c r="J126" s="123">
        <f t="shared" ca="1" si="30"/>
        <v>24.76292782245196</v>
      </c>
      <c r="K126" s="142"/>
    </row>
    <row r="127" spans="1:11" ht="14.4" customHeight="1" x14ac:dyDescent="0.3">
      <c r="A127" s="16"/>
      <c r="B127" s="16" t="s">
        <v>294</v>
      </c>
      <c r="C127" s="143" t="s">
        <v>169</v>
      </c>
      <c r="D127" s="79" t="s">
        <v>295</v>
      </c>
      <c r="E127" s="79" t="s">
        <v>188</v>
      </c>
      <c r="F127" s="122">
        <v>1</v>
      </c>
      <c r="G127" s="161">
        <v>42005</v>
      </c>
      <c r="H127" s="162">
        <f t="shared" ref="H127:H147" ca="1" si="31">(TODAY()-G127)/365</f>
        <v>11.641095890410959</v>
      </c>
      <c r="I127" s="172">
        <f t="shared" ca="1" si="29"/>
        <v>24.76292782245196</v>
      </c>
      <c r="J127" s="123">
        <f t="shared" ca="1" si="30"/>
        <v>24.76292782245196</v>
      </c>
      <c r="K127" s="142"/>
    </row>
    <row r="128" spans="1:11" ht="14.4" customHeight="1" x14ac:dyDescent="0.3">
      <c r="A128" s="16"/>
      <c r="B128" s="16" t="s">
        <v>319</v>
      </c>
      <c r="C128" s="143" t="s">
        <v>169</v>
      </c>
      <c r="D128" s="79" t="s">
        <v>320</v>
      </c>
      <c r="E128" s="79" t="s">
        <v>62</v>
      </c>
      <c r="F128" s="122">
        <v>1</v>
      </c>
      <c r="G128" s="161">
        <v>42005</v>
      </c>
      <c r="H128" s="162">
        <f t="shared" ca="1" si="31"/>
        <v>11.641095890410959</v>
      </c>
      <c r="I128" s="172">
        <f t="shared" ca="1" si="29"/>
        <v>24.76292782245196</v>
      </c>
      <c r="J128" s="123">
        <f t="shared" ref="J128" ca="1" si="32">I128*$M$54</f>
        <v>26.496332770023599</v>
      </c>
      <c r="K128" s="142"/>
    </row>
    <row r="129" spans="1:11" ht="14.4" customHeight="1" x14ac:dyDescent="0.3">
      <c r="A129" s="16"/>
      <c r="B129" s="16" t="s">
        <v>296</v>
      </c>
      <c r="C129" s="143" t="s">
        <v>169</v>
      </c>
      <c r="D129" s="79" t="s">
        <v>276</v>
      </c>
      <c r="E129" s="79" t="s">
        <v>188</v>
      </c>
      <c r="F129" s="122">
        <v>1</v>
      </c>
      <c r="G129" s="161">
        <v>41640</v>
      </c>
      <c r="H129" s="162">
        <f t="shared" ca="1" si="31"/>
        <v>12.641095890410959</v>
      </c>
      <c r="I129" s="172">
        <f t="shared" ca="1" si="29"/>
        <v>23.063042471795029</v>
      </c>
      <c r="J129" s="123">
        <f t="shared" ref="J129:J149" ca="1" si="33">I129*$M$58</f>
        <v>23.063042471795029</v>
      </c>
      <c r="K129" s="142"/>
    </row>
    <row r="130" spans="1:11" ht="14.4" customHeight="1" x14ac:dyDescent="0.3">
      <c r="A130" s="16"/>
      <c r="B130" s="16" t="s">
        <v>301</v>
      </c>
      <c r="C130" s="143" t="s">
        <v>169</v>
      </c>
      <c r="D130" s="79" t="s">
        <v>298</v>
      </c>
      <c r="E130" s="79" t="s">
        <v>188</v>
      </c>
      <c r="F130" s="122">
        <v>1</v>
      </c>
      <c r="G130" s="161">
        <v>41275</v>
      </c>
      <c r="H130" s="162">
        <f t="shared" ca="1" si="31"/>
        <v>13.641095890410959</v>
      </c>
      <c r="I130" s="172">
        <f t="shared" ca="1" si="29"/>
        <v>21.375731854775843</v>
      </c>
      <c r="J130" s="123">
        <f t="shared" ca="1" si="33"/>
        <v>21.375731854775843</v>
      </c>
      <c r="K130" s="142"/>
    </row>
    <row r="131" spans="1:11" ht="14.4" customHeight="1" x14ac:dyDescent="0.3">
      <c r="A131" s="16"/>
      <c r="B131" s="16" t="s">
        <v>299</v>
      </c>
      <c r="C131" s="143" t="s">
        <v>169</v>
      </c>
      <c r="D131" s="79" t="s">
        <v>298</v>
      </c>
      <c r="E131" s="79" t="s">
        <v>188</v>
      </c>
      <c r="F131" s="122">
        <v>1</v>
      </c>
      <c r="G131" s="161">
        <v>41275</v>
      </c>
      <c r="H131" s="162">
        <f t="shared" ca="1" si="31"/>
        <v>13.641095890410959</v>
      </c>
      <c r="I131" s="172">
        <f t="shared" ca="1" si="29"/>
        <v>21.375731854775843</v>
      </c>
      <c r="J131" s="123">
        <f t="shared" ca="1" si="33"/>
        <v>21.375731854775843</v>
      </c>
      <c r="K131" s="142"/>
    </row>
    <row r="132" spans="1:11" ht="14.4" customHeight="1" x14ac:dyDescent="0.3">
      <c r="A132" s="16"/>
      <c r="B132" s="16" t="s">
        <v>300</v>
      </c>
      <c r="C132" s="143" t="s">
        <v>169</v>
      </c>
      <c r="D132" s="79" t="s">
        <v>298</v>
      </c>
      <c r="E132" s="79" t="s">
        <v>188</v>
      </c>
      <c r="F132" s="122">
        <v>1</v>
      </c>
      <c r="G132" s="161">
        <v>41275</v>
      </c>
      <c r="H132" s="162">
        <f t="shared" ca="1" si="31"/>
        <v>13.641095890410959</v>
      </c>
      <c r="I132" s="172">
        <f t="shared" ca="1" si="29"/>
        <v>21.375731854775843</v>
      </c>
      <c r="J132" s="123">
        <f t="shared" ca="1" si="33"/>
        <v>21.375731854775843</v>
      </c>
      <c r="K132" s="142"/>
    </row>
    <row r="133" spans="1:11" ht="14.4" customHeight="1" x14ac:dyDescent="0.3">
      <c r="A133" s="16"/>
      <c r="B133" s="16" t="s">
        <v>297</v>
      </c>
      <c r="C133" s="143" t="s">
        <v>169</v>
      </c>
      <c r="D133" s="79" t="s">
        <v>298</v>
      </c>
      <c r="E133" s="79" t="s">
        <v>188</v>
      </c>
      <c r="F133" s="122">
        <v>1</v>
      </c>
      <c r="G133" s="161">
        <v>41275</v>
      </c>
      <c r="H133" s="162">
        <f t="shared" ca="1" si="31"/>
        <v>13.641095890410959</v>
      </c>
      <c r="I133" s="172">
        <f t="shared" ca="1" si="29"/>
        <v>21.375731854775843</v>
      </c>
      <c r="J133" s="123">
        <f t="shared" ca="1" si="33"/>
        <v>21.375731854775843</v>
      </c>
      <c r="K133" s="142"/>
    </row>
    <row r="134" spans="1:11" ht="14.4" customHeight="1" x14ac:dyDescent="0.3">
      <c r="A134" s="16"/>
      <c r="B134" s="16" t="s">
        <v>304</v>
      </c>
      <c r="C134" s="143" t="s">
        <v>169</v>
      </c>
      <c r="D134" s="79" t="s">
        <v>298</v>
      </c>
      <c r="E134" s="79" t="s">
        <v>188</v>
      </c>
      <c r="F134" s="122">
        <v>1</v>
      </c>
      <c r="G134" s="161">
        <v>41275</v>
      </c>
      <c r="H134" s="162">
        <f t="shared" ca="1" si="31"/>
        <v>13.641095890410959</v>
      </c>
      <c r="I134" s="172">
        <f t="shared" ca="1" si="29"/>
        <v>21.375731854775843</v>
      </c>
      <c r="J134" s="123">
        <f t="shared" ca="1" si="33"/>
        <v>21.375731854775843</v>
      </c>
      <c r="K134" s="142"/>
    </row>
    <row r="135" spans="1:11" ht="14.4" customHeight="1" x14ac:dyDescent="0.3">
      <c r="A135" s="16"/>
      <c r="B135" s="16" t="s">
        <v>303</v>
      </c>
      <c r="C135" s="143" t="s">
        <v>169</v>
      </c>
      <c r="D135" s="79" t="s">
        <v>298</v>
      </c>
      <c r="E135" s="79" t="s">
        <v>188</v>
      </c>
      <c r="F135" s="122">
        <v>1</v>
      </c>
      <c r="G135" s="161">
        <v>41275</v>
      </c>
      <c r="H135" s="162">
        <f t="shared" ca="1" si="31"/>
        <v>13.641095890410959</v>
      </c>
      <c r="I135" s="172">
        <f t="shared" ca="1" si="29"/>
        <v>21.375731854775843</v>
      </c>
      <c r="J135" s="123">
        <f t="shared" ca="1" si="33"/>
        <v>21.375731854775843</v>
      </c>
      <c r="K135" s="142"/>
    </row>
    <row r="136" spans="1:11" ht="14.4" customHeight="1" x14ac:dyDescent="0.3">
      <c r="A136" s="16"/>
      <c r="B136" s="16" t="s">
        <v>302</v>
      </c>
      <c r="C136" s="143" t="s">
        <v>169</v>
      </c>
      <c r="D136" s="79" t="s">
        <v>298</v>
      </c>
      <c r="E136" s="79" t="s">
        <v>188</v>
      </c>
      <c r="F136" s="122">
        <v>1</v>
      </c>
      <c r="G136" s="161">
        <v>41275</v>
      </c>
      <c r="H136" s="162">
        <f t="shared" ca="1" si="31"/>
        <v>13.641095890410959</v>
      </c>
      <c r="I136" s="172">
        <f t="shared" ca="1" si="29"/>
        <v>21.375731854775843</v>
      </c>
      <c r="J136" s="123">
        <f t="shared" ca="1" si="33"/>
        <v>21.375731854775843</v>
      </c>
      <c r="K136" s="142"/>
    </row>
    <row r="137" spans="1:11" ht="14.4" customHeight="1" x14ac:dyDescent="0.3">
      <c r="A137" s="16"/>
      <c r="B137" s="16" t="s">
        <v>281</v>
      </c>
      <c r="C137" s="143" t="s">
        <v>169</v>
      </c>
      <c r="D137" s="79" t="s">
        <v>276</v>
      </c>
      <c r="E137" s="79" t="s">
        <v>188</v>
      </c>
      <c r="F137" s="122">
        <v>1</v>
      </c>
      <c r="G137" s="161">
        <v>42005</v>
      </c>
      <c r="H137" s="162">
        <f t="shared" ca="1" si="31"/>
        <v>11.641095890410959</v>
      </c>
      <c r="I137" s="172">
        <f t="shared" ca="1" si="29"/>
        <v>24.76292782245196</v>
      </c>
      <c r="J137" s="123">
        <f t="shared" ca="1" si="33"/>
        <v>24.76292782245196</v>
      </c>
      <c r="K137" s="142"/>
    </row>
    <row r="138" spans="1:11" ht="14.4" customHeight="1" x14ac:dyDescent="0.3">
      <c r="A138" s="16"/>
      <c r="B138" s="16" t="s">
        <v>278</v>
      </c>
      <c r="C138" s="143" t="s">
        <v>169</v>
      </c>
      <c r="D138" s="79" t="s">
        <v>279</v>
      </c>
      <c r="E138" s="79" t="s">
        <v>188</v>
      </c>
      <c r="F138" s="122">
        <v>1</v>
      </c>
      <c r="G138" s="161">
        <v>43831</v>
      </c>
      <c r="H138" s="162">
        <f t="shared" ca="1" si="31"/>
        <v>6.6383561643835618</v>
      </c>
      <c r="I138" s="172">
        <f t="shared" ca="1" si="29"/>
        <v>33.126752280823084</v>
      </c>
      <c r="J138" s="123">
        <f t="shared" ca="1" si="33"/>
        <v>33.126752280823084</v>
      </c>
      <c r="K138" s="142"/>
    </row>
    <row r="139" spans="1:11" ht="14.4" customHeight="1" x14ac:dyDescent="0.3">
      <c r="A139" s="142"/>
      <c r="B139" s="16" t="s">
        <v>274</v>
      </c>
      <c r="C139" s="143" t="s">
        <v>169</v>
      </c>
      <c r="D139" s="79" t="s">
        <v>273</v>
      </c>
      <c r="E139" s="79" t="s">
        <v>188</v>
      </c>
      <c r="F139" s="122">
        <v>1</v>
      </c>
      <c r="G139" s="161">
        <v>43831</v>
      </c>
      <c r="H139" s="162">
        <f t="shared" ca="1" si="31"/>
        <v>6.6383561643835618</v>
      </c>
      <c r="I139" s="172">
        <f t="shared" ca="1" si="29"/>
        <v>33.126752280823084</v>
      </c>
      <c r="J139" s="123">
        <f t="shared" ca="1" si="33"/>
        <v>33.126752280823084</v>
      </c>
      <c r="K139" s="142"/>
    </row>
    <row r="140" spans="1:11" ht="14.4" customHeight="1" x14ac:dyDescent="0.3">
      <c r="A140" s="16"/>
      <c r="B140" s="16" t="s">
        <v>179</v>
      </c>
      <c r="C140" s="143" t="s">
        <v>178</v>
      </c>
      <c r="D140" s="79" t="s">
        <v>298</v>
      </c>
      <c r="E140" s="79" t="s">
        <v>188</v>
      </c>
      <c r="F140" s="122">
        <v>1</v>
      </c>
      <c r="G140" s="161">
        <v>40179</v>
      </c>
      <c r="H140" s="162">
        <f t="shared" ca="1" si="31"/>
        <v>16.643835616438356</v>
      </c>
      <c r="I140" s="172">
        <f t="shared" ref="I140:I147" ca="1" si="34">$M$49*H140^3+$N$49*H140^2+$O$49*H140+$P$49</f>
        <v>13.101971273463342</v>
      </c>
      <c r="J140" s="123">
        <f t="shared" ca="1" si="33"/>
        <v>13.101971273463342</v>
      </c>
    </row>
    <row r="141" spans="1:11" ht="14.4" customHeight="1" x14ac:dyDescent="0.3">
      <c r="A141" s="16"/>
      <c r="B141" s="16" t="s">
        <v>180</v>
      </c>
      <c r="C141" s="143" t="s">
        <v>178</v>
      </c>
      <c r="D141" s="79" t="s">
        <v>298</v>
      </c>
      <c r="E141" s="79" t="s">
        <v>188</v>
      </c>
      <c r="F141" s="122">
        <v>1</v>
      </c>
      <c r="G141" s="161">
        <v>40179</v>
      </c>
      <c r="H141" s="162">
        <f t="shared" ca="1" si="31"/>
        <v>16.643835616438356</v>
      </c>
      <c r="I141" s="172">
        <f t="shared" ca="1" si="34"/>
        <v>13.101971273463342</v>
      </c>
      <c r="J141" s="123">
        <f t="shared" ca="1" si="33"/>
        <v>13.101971273463342</v>
      </c>
    </row>
    <row r="142" spans="1:11" ht="14.4" customHeight="1" x14ac:dyDescent="0.3">
      <c r="A142" s="16"/>
      <c r="B142" s="16" t="s">
        <v>181</v>
      </c>
      <c r="C142" s="143" t="s">
        <v>178</v>
      </c>
      <c r="D142" s="79" t="s">
        <v>298</v>
      </c>
      <c r="E142" s="79" t="s">
        <v>188</v>
      </c>
      <c r="F142" s="122">
        <v>1</v>
      </c>
      <c r="G142" s="161">
        <v>40179</v>
      </c>
      <c r="H142" s="162">
        <f t="shared" ca="1" si="31"/>
        <v>16.643835616438356</v>
      </c>
      <c r="I142" s="172">
        <f t="shared" ca="1" si="34"/>
        <v>13.101971273463342</v>
      </c>
      <c r="J142" s="123">
        <f t="shared" ca="1" si="33"/>
        <v>13.101971273463342</v>
      </c>
    </row>
    <row r="143" spans="1:11" ht="14.4" customHeight="1" x14ac:dyDescent="0.3">
      <c r="A143" s="16"/>
      <c r="B143" s="16" t="s">
        <v>182</v>
      </c>
      <c r="C143" s="143" t="s">
        <v>178</v>
      </c>
      <c r="D143" s="79" t="s">
        <v>298</v>
      </c>
      <c r="E143" s="79" t="s">
        <v>188</v>
      </c>
      <c r="F143" s="122">
        <v>1</v>
      </c>
      <c r="G143" s="161">
        <v>40179</v>
      </c>
      <c r="H143" s="162">
        <f t="shared" ca="1" si="31"/>
        <v>16.643835616438356</v>
      </c>
      <c r="I143" s="172">
        <f t="shared" ca="1" si="34"/>
        <v>13.101971273463342</v>
      </c>
      <c r="J143" s="123">
        <f t="shared" ca="1" si="33"/>
        <v>13.101971273463342</v>
      </c>
    </row>
    <row r="144" spans="1:11" ht="14.4" customHeight="1" x14ac:dyDescent="0.3">
      <c r="A144" s="16"/>
      <c r="B144" s="16" t="s">
        <v>183</v>
      </c>
      <c r="C144" s="143" t="s">
        <v>178</v>
      </c>
      <c r="D144" s="79" t="s">
        <v>298</v>
      </c>
      <c r="E144" s="79" t="s">
        <v>188</v>
      </c>
      <c r="F144" s="122">
        <v>1</v>
      </c>
      <c r="G144" s="161">
        <v>40179</v>
      </c>
      <c r="H144" s="162">
        <f t="shared" ca="1" si="31"/>
        <v>16.643835616438356</v>
      </c>
      <c r="I144" s="172">
        <f t="shared" ca="1" si="34"/>
        <v>13.101971273463342</v>
      </c>
      <c r="J144" s="123">
        <f t="shared" ca="1" si="33"/>
        <v>13.101971273463342</v>
      </c>
    </row>
    <row r="145" spans="1:17" ht="14.4" customHeight="1" x14ac:dyDescent="0.3">
      <c r="A145" s="16"/>
      <c r="B145" s="16" t="s">
        <v>184</v>
      </c>
      <c r="C145" s="143" t="s">
        <v>178</v>
      </c>
      <c r="D145" s="79" t="s">
        <v>298</v>
      </c>
      <c r="E145" s="79" t="s">
        <v>188</v>
      </c>
      <c r="F145" s="122">
        <v>1</v>
      </c>
      <c r="G145" s="161">
        <v>40179</v>
      </c>
      <c r="H145" s="162">
        <f t="shared" ca="1" si="31"/>
        <v>16.643835616438356</v>
      </c>
      <c r="I145" s="172">
        <f t="shared" ca="1" si="34"/>
        <v>13.101971273463342</v>
      </c>
      <c r="J145" s="123">
        <f t="shared" ca="1" si="33"/>
        <v>13.101971273463342</v>
      </c>
    </row>
    <row r="146" spans="1:17" ht="14.4" customHeight="1" x14ac:dyDescent="0.3">
      <c r="A146" s="16"/>
      <c r="B146" s="16" t="s">
        <v>185</v>
      </c>
      <c r="C146" s="143" t="s">
        <v>178</v>
      </c>
      <c r="D146" s="79" t="s">
        <v>298</v>
      </c>
      <c r="E146" s="79" t="s">
        <v>188</v>
      </c>
      <c r="F146" s="122">
        <v>1</v>
      </c>
      <c r="G146" s="161">
        <v>40179</v>
      </c>
      <c r="H146" s="162">
        <f t="shared" ca="1" si="31"/>
        <v>16.643835616438356</v>
      </c>
      <c r="I146" s="172">
        <f t="shared" ca="1" si="34"/>
        <v>13.101971273463342</v>
      </c>
      <c r="J146" s="123">
        <f t="shared" ca="1" si="33"/>
        <v>13.101971273463342</v>
      </c>
    </row>
    <row r="147" spans="1:17" ht="14.4" customHeight="1" x14ac:dyDescent="0.3">
      <c r="A147" s="16"/>
      <c r="B147" s="16" t="s">
        <v>186</v>
      </c>
      <c r="C147" s="143" t="s">
        <v>178</v>
      </c>
      <c r="D147" s="79" t="s">
        <v>298</v>
      </c>
      <c r="E147" s="79" t="s">
        <v>188</v>
      </c>
      <c r="F147" s="122">
        <v>1</v>
      </c>
      <c r="G147" s="161">
        <v>40179</v>
      </c>
      <c r="H147" s="162">
        <f t="shared" ca="1" si="31"/>
        <v>16.643835616438356</v>
      </c>
      <c r="I147" s="172">
        <f t="shared" ca="1" si="34"/>
        <v>13.101971273463342</v>
      </c>
      <c r="J147" s="123">
        <f t="shared" ca="1" si="33"/>
        <v>13.101971273463342</v>
      </c>
    </row>
    <row r="148" spans="1:17" ht="14.4" customHeight="1" x14ac:dyDescent="0.3">
      <c r="A148" s="16"/>
      <c r="B148" s="16" t="s">
        <v>324</v>
      </c>
      <c r="C148" s="143" t="s">
        <v>178</v>
      </c>
      <c r="D148" s="79" t="s">
        <v>308</v>
      </c>
      <c r="E148" s="79" t="s">
        <v>188</v>
      </c>
      <c r="F148" s="122">
        <v>1</v>
      </c>
      <c r="G148" s="161">
        <v>41275</v>
      </c>
      <c r="H148" s="162">
        <f ca="1">(TODAY()-G148)/365</f>
        <v>13.641095890410959</v>
      </c>
      <c r="I148" s="172">
        <f ca="1">$M$49*H148^3+$N$49*H148^2+$O$49*H148+$P$49</f>
        <v>16.93505687455167</v>
      </c>
      <c r="J148" s="123">
        <f t="shared" ca="1" si="33"/>
        <v>16.93505687455167</v>
      </c>
      <c r="L148" s="142"/>
      <c r="M148" s="142"/>
      <c r="N148" s="142"/>
      <c r="O148" s="142"/>
      <c r="P148" s="142"/>
    </row>
    <row r="149" spans="1:17" ht="14.4" customHeight="1" x14ac:dyDescent="0.3">
      <c r="A149" s="16"/>
      <c r="B149" s="16" t="s">
        <v>325</v>
      </c>
      <c r="C149" s="143" t="s">
        <v>178</v>
      </c>
      <c r="D149" s="79" t="s">
        <v>308</v>
      </c>
      <c r="E149" s="79" t="s">
        <v>188</v>
      </c>
      <c r="F149" s="122">
        <v>1</v>
      </c>
      <c r="G149" s="161">
        <v>41275</v>
      </c>
      <c r="H149" s="162">
        <f ca="1">(TODAY()-G149)/365</f>
        <v>13.641095890410959</v>
      </c>
      <c r="I149" s="172">
        <f t="shared" ref="I149:I150" ca="1" si="35">$M$49*H149^3+$N$49*H149^2+$O$49*H149+$P$49</f>
        <v>16.93505687455167</v>
      </c>
      <c r="J149" s="123">
        <f t="shared" ca="1" si="33"/>
        <v>16.93505687455167</v>
      </c>
      <c r="Q149" s="142"/>
    </row>
    <row r="150" spans="1:17" s="142" customFormat="1" ht="14.4" customHeight="1" x14ac:dyDescent="0.3">
      <c r="A150" s="141"/>
      <c r="B150" s="141" t="s">
        <v>326</v>
      </c>
      <c r="C150" s="78" t="s">
        <v>178</v>
      </c>
      <c r="D150" s="79" t="s">
        <v>327</v>
      </c>
      <c r="E150" s="79" t="s">
        <v>138</v>
      </c>
      <c r="F150" s="122">
        <v>1</v>
      </c>
      <c r="G150" s="164">
        <v>40179</v>
      </c>
      <c r="H150" s="165">
        <f ca="1">(TODAY()-G150)/365</f>
        <v>16.643835616438356</v>
      </c>
      <c r="I150" s="172">
        <f t="shared" ca="1" si="35"/>
        <v>13.101971273463342</v>
      </c>
      <c r="J150" s="123">
        <f ca="1">I150*$M$56</f>
        <v>13.364010698932608</v>
      </c>
      <c r="K150" s="6"/>
      <c r="L150" s="6"/>
      <c r="M150" s="6"/>
      <c r="N150" s="6"/>
      <c r="O150" s="6"/>
      <c r="P150" s="6"/>
      <c r="Q150"/>
    </row>
    <row r="151" spans="1:17" ht="14.4" customHeight="1" x14ac:dyDescent="0.3">
      <c r="A151" s="16"/>
      <c r="B151" s="16"/>
      <c r="C151" s="44"/>
      <c r="D151" s="79"/>
      <c r="E151" s="79"/>
      <c r="F151" s="122"/>
      <c r="G151" s="154"/>
      <c r="H151" s="155"/>
      <c r="I151" s="156"/>
      <c r="J151" s="123"/>
    </row>
    <row r="152" spans="1:17" ht="14.4" customHeight="1" x14ac:dyDescent="0.3">
      <c r="A152" s="16"/>
      <c r="B152" s="16"/>
      <c r="C152" s="44"/>
      <c r="D152" s="79"/>
      <c r="E152" s="79"/>
      <c r="F152" s="122"/>
      <c r="G152" s="154"/>
      <c r="H152" s="155"/>
      <c r="I152" s="156"/>
      <c r="J152" s="123"/>
    </row>
    <row r="154" spans="1:17" ht="14.4" customHeight="1" x14ac:dyDescent="0.3">
      <c r="B154" s="22" t="s">
        <v>83</v>
      </c>
    </row>
    <row r="155" spans="1:17" ht="14.4" customHeight="1" x14ac:dyDescent="0.3">
      <c r="B155" s="36" t="s">
        <v>137</v>
      </c>
    </row>
    <row r="156" spans="1:17" ht="14.4" customHeight="1" x14ac:dyDescent="0.3">
      <c r="B156" s="191" t="s">
        <v>339</v>
      </c>
    </row>
    <row r="163" spans="1:11" ht="14.4" customHeight="1" x14ac:dyDescent="0.3">
      <c r="A163" s="142"/>
      <c r="D163" s="142"/>
      <c r="E163" s="142"/>
      <c r="F163" s="142"/>
      <c r="G163" s="142"/>
      <c r="H163" s="142"/>
      <c r="I163" s="142"/>
      <c r="J163" s="142"/>
      <c r="K163" s="142"/>
    </row>
    <row r="165" spans="1:11" ht="14.4" customHeight="1" x14ac:dyDescent="0.3">
      <c r="K165" s="70"/>
    </row>
    <row r="206" spans="11:11" ht="14.4" customHeight="1" x14ac:dyDescent="0.3">
      <c r="K206" s="16"/>
    </row>
    <row r="207" spans="11:11" ht="14.4" customHeight="1" x14ac:dyDescent="0.3">
      <c r="K207" s="16"/>
    </row>
    <row r="208" spans="11:11" ht="14.4" customHeight="1" x14ac:dyDescent="0.3">
      <c r="K208" s="16"/>
    </row>
  </sheetData>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4"/>
  <sheetViews>
    <sheetView showGridLines="0" zoomScale="85" zoomScaleNormal="85" workbookViewId="0">
      <pane xSplit="2" ySplit="1" topLeftCell="C2" activePane="bottomRight" state="frozen"/>
      <selection pane="topRight" activeCell="C1" sqref="C1"/>
      <selection pane="bottomLeft" activeCell="A2" sqref="A2"/>
      <selection pane="bottomRight" activeCell="M11" sqref="M11"/>
    </sheetView>
  </sheetViews>
  <sheetFormatPr baseColWidth="10" defaultColWidth="12.77734375" defaultRowHeight="14.4" customHeight="1" outlineLevelCol="1" x14ac:dyDescent="0.3"/>
  <cols>
    <col min="1" max="1" width="2.77734375" style="83" customWidth="1"/>
    <col min="2" max="2" width="50.77734375" style="84" customWidth="1"/>
    <col min="3" max="5" width="12.77734375" style="84" hidden="1" customWidth="1" outlineLevel="1"/>
    <col min="6" max="6" width="12.77734375" style="84" customWidth="1" collapsed="1"/>
    <col min="7" max="14" width="12.77734375" style="84" customWidth="1"/>
    <col min="15" max="16384" width="12.77734375" style="84"/>
  </cols>
  <sheetData>
    <row r="1" spans="1:13" customFormat="1" ht="14.4" customHeight="1" x14ac:dyDescent="0.3">
      <c r="A1" s="79"/>
      <c r="B1" s="80" t="s">
        <v>148</v>
      </c>
      <c r="C1" s="81">
        <v>2023</v>
      </c>
      <c r="D1" s="81">
        <v>2024</v>
      </c>
      <c r="E1" s="81">
        <v>2025</v>
      </c>
      <c r="F1" s="81" t="s">
        <v>64</v>
      </c>
      <c r="G1" s="81" t="s">
        <v>65</v>
      </c>
      <c r="H1" s="82" t="s">
        <v>66</v>
      </c>
      <c r="I1" s="82" t="s">
        <v>67</v>
      </c>
      <c r="J1" s="82" t="s">
        <v>68</v>
      </c>
      <c r="K1" s="82" t="s">
        <v>467</v>
      </c>
    </row>
    <row r="2" spans="1:13" s="116" customFormat="1" ht="14.4" customHeight="1" x14ac:dyDescent="0.3">
      <c r="A2" s="124"/>
      <c r="B2" s="116" t="s">
        <v>340</v>
      </c>
      <c r="C2" s="85"/>
      <c r="D2" s="85"/>
      <c r="E2" s="85"/>
      <c r="F2" s="85"/>
      <c r="G2" s="85"/>
      <c r="H2" s="85"/>
      <c r="I2" s="85"/>
      <c r="J2" s="85"/>
      <c r="K2" s="85"/>
    </row>
    <row r="3" spans="1:13" s="87" customFormat="1" ht="14.4" customHeight="1" x14ac:dyDescent="0.3">
      <c r="A3" s="91"/>
      <c r="B3" s="175" t="s">
        <v>341</v>
      </c>
      <c r="C3" s="85">
        <v>949269</v>
      </c>
      <c r="D3" s="85">
        <v>1265458</v>
      </c>
      <c r="E3" s="85">
        <v>1042499</v>
      </c>
      <c r="F3" s="85">
        <v>281152</v>
      </c>
      <c r="G3" s="85">
        <v>357412</v>
      </c>
      <c r="H3" s="85">
        <f>SUM(H204:H352)/1000</f>
        <v>304322.97839999996</v>
      </c>
      <c r="I3" s="85">
        <f>SUM(I204:I352)/1000</f>
        <v>298665.53554949991</v>
      </c>
      <c r="J3" s="85">
        <f>SUM(J204:J352)/1000</f>
        <v>320120.33286240016</v>
      </c>
      <c r="K3" s="85">
        <f>SUM(K204:K352)/1000</f>
        <v>326522.7395196475</v>
      </c>
    </row>
    <row r="4" spans="1:13" s="116" customFormat="1" ht="14.4" customHeight="1" x14ac:dyDescent="0.3">
      <c r="A4" s="124"/>
      <c r="B4" s="176" t="s">
        <v>342</v>
      </c>
      <c r="C4" s="57">
        <f t="shared" ref="C4:J4" si="0">SUM(C3)</f>
        <v>949269</v>
      </c>
      <c r="D4" s="57">
        <f t="shared" si="0"/>
        <v>1265458</v>
      </c>
      <c r="E4" s="57">
        <f t="shared" si="0"/>
        <v>1042499</v>
      </c>
      <c r="F4" s="57">
        <f t="shared" si="0"/>
        <v>281152</v>
      </c>
      <c r="G4" s="57">
        <f t="shared" si="0"/>
        <v>357412</v>
      </c>
      <c r="H4" s="57">
        <f t="shared" si="0"/>
        <v>304322.97839999996</v>
      </c>
      <c r="I4" s="57">
        <f t="shared" si="0"/>
        <v>298665.53554949991</v>
      </c>
      <c r="J4" s="57">
        <f t="shared" si="0"/>
        <v>320120.33286240016</v>
      </c>
      <c r="K4" s="57">
        <f t="shared" ref="K4" si="1">SUM(K3)</f>
        <v>326522.7395196475</v>
      </c>
    </row>
    <row r="5" spans="1:13" s="116" customFormat="1" ht="14.4" customHeight="1" x14ac:dyDescent="0.3">
      <c r="A5" s="124"/>
      <c r="B5" s="84"/>
      <c r="C5" s="85"/>
      <c r="D5" s="85"/>
      <c r="E5" s="85"/>
      <c r="F5" s="85"/>
      <c r="G5" s="145"/>
      <c r="H5" s="145"/>
      <c r="I5" s="145"/>
      <c r="J5" s="145"/>
      <c r="K5" s="145"/>
    </row>
    <row r="6" spans="1:13" s="116" customFormat="1" ht="14.4" customHeight="1" x14ac:dyDescent="0.3">
      <c r="A6" s="124"/>
      <c r="B6" s="116" t="s">
        <v>343</v>
      </c>
      <c r="C6" s="85"/>
      <c r="D6" s="85"/>
      <c r="E6" s="85"/>
      <c r="F6" s="85"/>
      <c r="G6" s="145"/>
      <c r="H6" s="145"/>
      <c r="I6" s="145"/>
      <c r="J6" s="145"/>
      <c r="K6" s="145"/>
    </row>
    <row r="7" spans="1:13" s="116" customFormat="1" ht="14.4" customHeight="1" x14ac:dyDescent="0.3">
      <c r="A7" s="124"/>
      <c r="B7" s="175" t="s">
        <v>139</v>
      </c>
      <c r="C7" s="85">
        <v>253843</v>
      </c>
      <c r="D7" s="85">
        <v>266225</v>
      </c>
      <c r="E7" s="85">
        <v>215015</v>
      </c>
      <c r="F7" s="85">
        <v>52762</v>
      </c>
      <c r="G7" s="85">
        <v>57611</v>
      </c>
      <c r="H7" s="150"/>
      <c r="I7" s="150"/>
      <c r="J7" s="150"/>
      <c r="K7" s="150"/>
    </row>
    <row r="8" spans="1:13" s="116" customFormat="1" ht="14.4" customHeight="1" x14ac:dyDescent="0.3">
      <c r="A8" s="124"/>
      <c r="B8" s="175" t="s">
        <v>344</v>
      </c>
      <c r="C8" s="148">
        <v>17656</v>
      </c>
      <c r="D8" s="148">
        <v>58003</v>
      </c>
      <c r="E8" s="148">
        <v>63466</v>
      </c>
      <c r="F8" s="148">
        <v>14479</v>
      </c>
      <c r="G8" s="85">
        <v>12624</v>
      </c>
      <c r="H8" s="150"/>
      <c r="I8" s="150"/>
      <c r="J8" s="150"/>
      <c r="K8" s="150"/>
    </row>
    <row r="9" spans="1:13" ht="14.4" customHeight="1" x14ac:dyDescent="0.3">
      <c r="B9" s="175" t="s">
        <v>345</v>
      </c>
      <c r="C9" s="85">
        <v>221327</v>
      </c>
      <c r="D9" s="85">
        <v>274991</v>
      </c>
      <c r="E9" s="148">
        <v>269163</v>
      </c>
      <c r="F9" s="85">
        <v>61786</v>
      </c>
      <c r="G9" s="85">
        <v>64326</v>
      </c>
      <c r="H9" s="182">
        <v>64326</v>
      </c>
      <c r="I9" s="182">
        <v>64326</v>
      </c>
      <c r="J9" s="182">
        <v>64326</v>
      </c>
      <c r="K9" s="182">
        <v>64326</v>
      </c>
    </row>
    <row r="10" spans="1:13" s="116" customFormat="1" ht="14.4" customHeight="1" x14ac:dyDescent="0.3">
      <c r="A10" s="124"/>
      <c r="B10" s="175" t="s">
        <v>346</v>
      </c>
      <c r="C10" s="85">
        <v>41969</v>
      </c>
      <c r="D10" s="85">
        <v>62728</v>
      </c>
      <c r="E10" s="85">
        <v>92201</v>
      </c>
      <c r="F10" s="85">
        <v>19593</v>
      </c>
      <c r="G10" s="85">
        <v>19553</v>
      </c>
      <c r="H10" s="182">
        <v>15600</v>
      </c>
      <c r="I10" s="182">
        <v>10700</v>
      </c>
      <c r="J10" s="182">
        <f>16700/4</f>
        <v>4175</v>
      </c>
      <c r="K10" s="182">
        <f>16700/4</f>
        <v>4175</v>
      </c>
    </row>
    <row r="11" spans="1:13" ht="14.4" customHeight="1" x14ac:dyDescent="0.3">
      <c r="A11" s="91"/>
      <c r="B11" s="175" t="s">
        <v>347</v>
      </c>
      <c r="C11" s="85">
        <v>138429</v>
      </c>
      <c r="D11" s="85">
        <v>164055</v>
      </c>
      <c r="E11" s="85">
        <v>168277</v>
      </c>
      <c r="F11" s="85">
        <v>39578</v>
      </c>
      <c r="G11" s="85">
        <v>39783</v>
      </c>
      <c r="H11" s="182">
        <v>39783</v>
      </c>
      <c r="I11" s="182">
        <v>39783</v>
      </c>
      <c r="J11" s="182">
        <v>39783</v>
      </c>
      <c r="K11" s="182">
        <v>39783</v>
      </c>
      <c r="L11" s="87"/>
      <c r="M11" s="87"/>
    </row>
    <row r="12" spans="1:13" s="116" customFormat="1" ht="14.4" customHeight="1" x14ac:dyDescent="0.3">
      <c r="A12" s="91"/>
      <c r="B12" s="175" t="s">
        <v>348</v>
      </c>
      <c r="C12" s="85">
        <v>16809</v>
      </c>
      <c r="D12" s="85">
        <v>18956</v>
      </c>
      <c r="E12" s="85">
        <v>23180</v>
      </c>
      <c r="F12" s="85">
        <v>5451</v>
      </c>
      <c r="G12" s="85">
        <v>5633</v>
      </c>
      <c r="H12" s="182">
        <v>5633</v>
      </c>
      <c r="I12" s="182">
        <v>5633</v>
      </c>
      <c r="J12" s="182">
        <v>5633</v>
      </c>
      <c r="K12" s="182">
        <v>5633</v>
      </c>
      <c r="L12" s="87"/>
      <c r="M12" s="87"/>
    </row>
    <row r="13" spans="1:13" s="87" customFormat="1" ht="14.4" customHeight="1" x14ac:dyDescent="0.3">
      <c r="A13" s="91"/>
      <c r="B13" s="175" t="s">
        <v>140</v>
      </c>
      <c r="C13" s="85">
        <v>54413</v>
      </c>
      <c r="D13" s="85">
        <v>70778</v>
      </c>
      <c r="E13" s="85">
        <v>70542</v>
      </c>
      <c r="F13" s="85">
        <v>14481</v>
      </c>
      <c r="G13" s="85">
        <v>16065</v>
      </c>
      <c r="H13" s="182">
        <v>16065</v>
      </c>
      <c r="I13" s="182">
        <v>16065</v>
      </c>
      <c r="J13" s="182">
        <v>16065</v>
      </c>
      <c r="K13" s="182">
        <v>16065</v>
      </c>
    </row>
    <row r="14" spans="1:13" s="87" customFormat="1" ht="14.4" customHeight="1" x14ac:dyDescent="0.3">
      <c r="A14" s="91"/>
      <c r="B14" s="175" t="s">
        <v>350</v>
      </c>
      <c r="C14" s="85">
        <v>17838</v>
      </c>
      <c r="D14" s="85">
        <v>1800</v>
      </c>
      <c r="E14" s="85">
        <v>0</v>
      </c>
      <c r="F14" s="85">
        <v>0</v>
      </c>
      <c r="G14" s="85">
        <v>0</v>
      </c>
      <c r="H14" s="182">
        <v>0</v>
      </c>
      <c r="I14" s="182">
        <v>0</v>
      </c>
      <c r="J14" s="182">
        <v>0</v>
      </c>
      <c r="K14" s="182">
        <v>0</v>
      </c>
    </row>
    <row r="15" spans="1:13" s="116" customFormat="1" ht="14.4" customHeight="1" x14ac:dyDescent="0.3">
      <c r="A15" s="124"/>
      <c r="B15" s="175" t="s">
        <v>349</v>
      </c>
      <c r="C15" s="85">
        <v>9318</v>
      </c>
      <c r="D15" s="85">
        <v>6286</v>
      </c>
      <c r="E15" s="85">
        <v>0</v>
      </c>
      <c r="F15" s="85">
        <v>0</v>
      </c>
      <c r="G15" s="85">
        <v>0</v>
      </c>
      <c r="H15" s="182">
        <v>0</v>
      </c>
      <c r="I15" s="182">
        <v>0</v>
      </c>
      <c r="J15" s="182">
        <v>0</v>
      </c>
      <c r="K15" s="182">
        <v>0</v>
      </c>
    </row>
    <row r="16" spans="1:13" s="87" customFormat="1" ht="14.4" customHeight="1" x14ac:dyDescent="0.3">
      <c r="A16" s="91"/>
      <c r="B16" s="175" t="s">
        <v>351</v>
      </c>
      <c r="C16" s="85">
        <v>952</v>
      </c>
      <c r="D16" s="85">
        <v>2326</v>
      </c>
      <c r="E16" s="85">
        <v>5421</v>
      </c>
      <c r="F16" s="85">
        <v>873</v>
      </c>
      <c r="G16" s="200">
        <v>548</v>
      </c>
      <c r="H16" s="183" t="s">
        <v>433</v>
      </c>
      <c r="I16" s="183" t="s">
        <v>433</v>
      </c>
      <c r="J16" s="183" t="s">
        <v>433</v>
      </c>
      <c r="K16" s="183" t="s">
        <v>433</v>
      </c>
    </row>
    <row r="17" spans="1:13" ht="14.4" customHeight="1" x14ac:dyDescent="0.3">
      <c r="B17" s="175" t="s">
        <v>352</v>
      </c>
      <c r="C17" s="85">
        <v>-33980</v>
      </c>
      <c r="D17" s="85">
        <v>-4740</v>
      </c>
      <c r="E17" s="148">
        <v>-15005</v>
      </c>
      <c r="F17" s="85">
        <v>-711</v>
      </c>
      <c r="G17" s="200">
        <v>-2450</v>
      </c>
      <c r="H17" s="183" t="s">
        <v>433</v>
      </c>
      <c r="I17" s="183" t="s">
        <v>433</v>
      </c>
      <c r="J17" s="183" t="s">
        <v>433</v>
      </c>
      <c r="K17" s="183" t="s">
        <v>433</v>
      </c>
    </row>
    <row r="18" spans="1:13" ht="14.4" customHeight="1" x14ac:dyDescent="0.3">
      <c r="A18" s="124"/>
      <c r="B18" s="175" t="s">
        <v>353</v>
      </c>
      <c r="C18" s="85">
        <v>300</v>
      </c>
      <c r="D18" s="85">
        <v>308</v>
      </c>
      <c r="E18" s="85">
        <v>0</v>
      </c>
      <c r="F18" s="85">
        <v>0</v>
      </c>
      <c r="G18" s="200">
        <v>98</v>
      </c>
      <c r="H18" s="183" t="s">
        <v>433</v>
      </c>
      <c r="I18" s="183" t="s">
        <v>433</v>
      </c>
      <c r="J18" s="183" t="s">
        <v>433</v>
      </c>
      <c r="K18" s="183" t="s">
        <v>433</v>
      </c>
      <c r="L18" s="116"/>
      <c r="M18" s="116"/>
    </row>
    <row r="19" spans="1:13" ht="14.4" customHeight="1" x14ac:dyDescent="0.3">
      <c r="A19" s="91"/>
      <c r="B19" s="175" t="s">
        <v>434</v>
      </c>
      <c r="C19" s="85">
        <v>1336</v>
      </c>
      <c r="D19" s="85">
        <v>4033</v>
      </c>
      <c r="E19" s="85">
        <v>-4944</v>
      </c>
      <c r="F19" s="85">
        <v>2891</v>
      </c>
      <c r="G19" s="85">
        <v>943</v>
      </c>
      <c r="H19" s="150"/>
      <c r="I19" s="150"/>
      <c r="J19" s="150"/>
      <c r="K19" s="150"/>
      <c r="L19" s="87"/>
      <c r="M19" s="87"/>
    </row>
    <row r="20" spans="1:13" ht="14.4" customHeight="1" x14ac:dyDescent="0.3">
      <c r="A20" s="91"/>
      <c r="B20" s="175" t="s">
        <v>354</v>
      </c>
      <c r="C20" s="85">
        <v>-29399</v>
      </c>
      <c r="D20" s="85">
        <v>-43287</v>
      </c>
      <c r="E20" s="85">
        <v>18313</v>
      </c>
      <c r="F20" s="85">
        <v>-172</v>
      </c>
      <c r="G20" s="85">
        <v>-12354</v>
      </c>
      <c r="H20" s="184">
        <f>-(CashFlow!H46-Balance!G13)</f>
        <v>-20550</v>
      </c>
      <c r="I20" s="184">
        <v>0</v>
      </c>
      <c r="J20" s="184">
        <v>0</v>
      </c>
      <c r="K20" s="184">
        <v>0</v>
      </c>
      <c r="L20" s="87"/>
      <c r="M20" s="87"/>
    </row>
    <row r="21" spans="1:13" s="116" customFormat="1" ht="14.4" customHeight="1" x14ac:dyDescent="0.3">
      <c r="A21" s="124"/>
      <c r="B21" s="116" t="s">
        <v>355</v>
      </c>
      <c r="C21" s="57">
        <f t="shared" ref="C21:J21" si="2">SUM(C7:C20)</f>
        <v>710811</v>
      </c>
      <c r="D21" s="57">
        <f t="shared" si="2"/>
        <v>882462</v>
      </c>
      <c r="E21" s="57">
        <f t="shared" si="2"/>
        <v>905629</v>
      </c>
      <c r="F21" s="57">
        <f t="shared" si="2"/>
        <v>211011</v>
      </c>
      <c r="G21" s="57">
        <f t="shared" si="2"/>
        <v>202380</v>
      </c>
      <c r="H21" s="57">
        <f t="shared" si="2"/>
        <v>120857</v>
      </c>
      <c r="I21" s="57">
        <f t="shared" si="2"/>
        <v>136507</v>
      </c>
      <c r="J21" s="57">
        <f t="shared" si="2"/>
        <v>129982</v>
      </c>
      <c r="K21" s="57">
        <f t="shared" ref="K21" si="3">SUM(K7:K20)</f>
        <v>129982</v>
      </c>
    </row>
    <row r="22" spans="1:13" ht="14.4" customHeight="1" x14ac:dyDescent="0.3">
      <c r="A22" s="91"/>
      <c r="B22" s="116"/>
      <c r="C22" s="85"/>
      <c r="D22" s="85"/>
      <c r="E22" s="85"/>
      <c r="F22" s="85"/>
      <c r="G22" s="85"/>
      <c r="H22" s="85"/>
      <c r="I22" s="85"/>
      <c r="J22" s="85"/>
      <c r="K22" s="85"/>
      <c r="L22" s="87"/>
      <c r="M22" s="87"/>
    </row>
    <row r="23" spans="1:13" s="116" customFormat="1" ht="14.4" customHeight="1" x14ac:dyDescent="0.3">
      <c r="A23" s="124"/>
      <c r="B23" s="88" t="s">
        <v>356</v>
      </c>
      <c r="C23" s="88">
        <f t="shared" ref="C23:J23" si="4">C4-C21</f>
        <v>238458</v>
      </c>
      <c r="D23" s="88">
        <f t="shared" si="4"/>
        <v>382996</v>
      </c>
      <c r="E23" s="88">
        <f t="shared" si="4"/>
        <v>136870</v>
      </c>
      <c r="F23" s="88">
        <f t="shared" si="4"/>
        <v>70141</v>
      </c>
      <c r="G23" s="88">
        <f t="shared" si="4"/>
        <v>155032</v>
      </c>
      <c r="H23" s="88">
        <f t="shared" si="4"/>
        <v>183465.97839999996</v>
      </c>
      <c r="I23" s="88">
        <f t="shared" si="4"/>
        <v>162158.53554949991</v>
      </c>
      <c r="J23" s="88">
        <f t="shared" si="4"/>
        <v>190138.33286240016</v>
      </c>
      <c r="K23" s="88">
        <f t="shared" ref="K23" si="5">K4-K21</f>
        <v>196540.7395196475</v>
      </c>
    </row>
    <row r="24" spans="1:13" ht="14.4" customHeight="1" x14ac:dyDescent="0.3">
      <c r="A24" s="124"/>
      <c r="B24" s="116"/>
      <c r="C24" s="85"/>
      <c r="D24" s="85"/>
      <c r="E24" s="85"/>
      <c r="F24" s="85"/>
      <c r="G24" s="145"/>
      <c r="H24" s="145"/>
      <c r="I24" s="145"/>
      <c r="J24" s="145"/>
      <c r="K24" s="145"/>
      <c r="L24" s="116"/>
      <c r="M24" s="116"/>
    </row>
    <row r="25" spans="1:13" ht="14.4" customHeight="1" x14ac:dyDescent="0.3">
      <c r="A25" s="124"/>
      <c r="B25" s="116" t="s">
        <v>357</v>
      </c>
      <c r="C25" s="85"/>
      <c r="D25" s="85"/>
      <c r="E25" s="85"/>
      <c r="F25" s="85"/>
      <c r="G25" s="145"/>
      <c r="H25" s="145"/>
      <c r="I25" s="145"/>
      <c r="J25" s="145"/>
      <c r="K25" s="145"/>
      <c r="L25" s="116"/>
      <c r="M25" s="116"/>
    </row>
    <row r="26" spans="1:13" ht="14.4" customHeight="1" x14ac:dyDescent="0.3">
      <c r="A26" s="91"/>
      <c r="B26" s="175" t="s">
        <v>358</v>
      </c>
      <c r="C26" s="85">
        <v>-71319</v>
      </c>
      <c r="D26" s="85">
        <v>-91827</v>
      </c>
      <c r="E26" s="85">
        <v>-71225</v>
      </c>
      <c r="F26" s="85">
        <v>-12893</v>
      </c>
      <c r="G26" s="85">
        <v>-12446</v>
      </c>
      <c r="H26" s="182">
        <v>-12446</v>
      </c>
      <c r="I26" s="182">
        <v>-12446</v>
      </c>
      <c r="J26" s="182">
        <v>-12446</v>
      </c>
      <c r="K26" s="182">
        <v>-12446</v>
      </c>
      <c r="L26" s="87"/>
      <c r="M26" s="87"/>
    </row>
    <row r="27" spans="1:13" ht="14.4" customHeight="1" x14ac:dyDescent="0.3">
      <c r="A27" s="91"/>
      <c r="B27" s="175" t="s">
        <v>359</v>
      </c>
      <c r="C27" s="85">
        <v>15228</v>
      </c>
      <c r="D27" s="85">
        <v>16378</v>
      </c>
      <c r="E27" s="85">
        <v>18887</v>
      </c>
      <c r="F27" s="85">
        <v>1188</v>
      </c>
      <c r="G27" s="85">
        <v>3035</v>
      </c>
      <c r="H27" s="184">
        <v>2000</v>
      </c>
      <c r="I27" s="184">
        <v>2000</v>
      </c>
      <c r="J27" s="184">
        <v>2000</v>
      </c>
      <c r="K27" s="184">
        <v>2000</v>
      </c>
      <c r="L27" s="87"/>
      <c r="M27" s="87"/>
    </row>
    <row r="28" spans="1:13" ht="14.4" customHeight="1" x14ac:dyDescent="0.3">
      <c r="A28" s="91"/>
      <c r="B28" s="175" t="s">
        <v>360</v>
      </c>
      <c r="C28" s="85">
        <v>-3539</v>
      </c>
      <c r="D28" s="85">
        <v>-1861</v>
      </c>
      <c r="E28" s="85">
        <v>980</v>
      </c>
      <c r="F28" s="85">
        <v>184</v>
      </c>
      <c r="G28" s="85">
        <v>28</v>
      </c>
      <c r="H28" s="184">
        <v>0</v>
      </c>
      <c r="I28" s="184">
        <v>0</v>
      </c>
      <c r="J28" s="184">
        <v>0</v>
      </c>
      <c r="K28" s="184">
        <v>0</v>
      </c>
      <c r="L28" s="87"/>
      <c r="M28" s="87"/>
    </row>
    <row r="29" spans="1:13" ht="14.4" customHeight="1" x14ac:dyDescent="0.3">
      <c r="A29" s="124"/>
      <c r="B29" s="175" t="s">
        <v>361</v>
      </c>
      <c r="C29" s="85">
        <v>-5149</v>
      </c>
      <c r="D29" s="85">
        <v>-1144</v>
      </c>
      <c r="E29" s="85">
        <v>-431</v>
      </c>
      <c r="F29" s="85">
        <v>-107</v>
      </c>
      <c r="G29" s="85">
        <v>-714</v>
      </c>
      <c r="H29" s="184">
        <v>0</v>
      </c>
      <c r="I29" s="184">
        <v>0</v>
      </c>
      <c r="J29" s="184">
        <v>0</v>
      </c>
      <c r="K29" s="184">
        <v>0</v>
      </c>
      <c r="L29" s="116"/>
      <c r="M29" s="116"/>
    </row>
    <row r="30" spans="1:13" s="116" customFormat="1" ht="14.4" customHeight="1" x14ac:dyDescent="0.3">
      <c r="A30" s="124"/>
      <c r="B30" s="116" t="s">
        <v>141</v>
      </c>
      <c r="C30" s="57">
        <f t="shared" ref="C30:J30" si="6">SUM(C26:C29)</f>
        <v>-64779</v>
      </c>
      <c r="D30" s="57">
        <f t="shared" si="6"/>
        <v>-78454</v>
      </c>
      <c r="E30" s="57">
        <f t="shared" si="6"/>
        <v>-51789</v>
      </c>
      <c r="F30" s="57">
        <f t="shared" si="6"/>
        <v>-11628</v>
      </c>
      <c r="G30" s="57">
        <f t="shared" si="6"/>
        <v>-10097</v>
      </c>
      <c r="H30" s="57">
        <f t="shared" si="6"/>
        <v>-10446</v>
      </c>
      <c r="I30" s="57">
        <f t="shared" si="6"/>
        <v>-10446</v>
      </c>
      <c r="J30" s="57">
        <f t="shared" si="6"/>
        <v>-10446</v>
      </c>
      <c r="K30" s="57">
        <f t="shared" ref="K30" si="7">SUM(K26:K29)</f>
        <v>-10446</v>
      </c>
    </row>
    <row r="31" spans="1:13" ht="14.4" customHeight="1" x14ac:dyDescent="0.3">
      <c r="A31" s="124"/>
      <c r="C31" s="85"/>
      <c r="D31" s="85"/>
      <c r="E31" s="85"/>
      <c r="F31" s="85"/>
      <c r="G31" s="85"/>
      <c r="H31" s="85"/>
      <c r="I31" s="85"/>
      <c r="J31" s="85"/>
      <c r="K31" s="85"/>
      <c r="L31" s="116"/>
      <c r="M31" s="116"/>
    </row>
    <row r="32" spans="1:13" s="116" customFormat="1" ht="14.4" customHeight="1" x14ac:dyDescent="0.3">
      <c r="A32" s="124"/>
      <c r="B32" s="88" t="s">
        <v>362</v>
      </c>
      <c r="C32" s="88">
        <f t="shared" ref="C32:J32" si="8">C23+C30</f>
        <v>173679</v>
      </c>
      <c r="D32" s="88">
        <f t="shared" si="8"/>
        <v>304542</v>
      </c>
      <c r="E32" s="88">
        <f t="shared" si="8"/>
        <v>85081</v>
      </c>
      <c r="F32" s="88">
        <f t="shared" si="8"/>
        <v>58513</v>
      </c>
      <c r="G32" s="88">
        <f t="shared" si="8"/>
        <v>144935</v>
      </c>
      <c r="H32" s="88">
        <f t="shared" si="8"/>
        <v>173019.97839999996</v>
      </c>
      <c r="I32" s="88">
        <f t="shared" si="8"/>
        <v>151712.53554949991</v>
      </c>
      <c r="J32" s="88">
        <f t="shared" si="8"/>
        <v>179692.33286240016</v>
      </c>
      <c r="K32" s="88">
        <f t="shared" ref="K32" si="9">K23+K30</f>
        <v>186094.7395196475</v>
      </c>
    </row>
    <row r="33" spans="1:13" ht="14.4" customHeight="1" x14ac:dyDescent="0.3">
      <c r="B33" s="175" t="s">
        <v>363</v>
      </c>
      <c r="C33" s="85">
        <v>-183</v>
      </c>
      <c r="D33" s="85">
        <v>116</v>
      </c>
      <c r="E33" s="148">
        <v>0</v>
      </c>
      <c r="F33" s="85">
        <v>0</v>
      </c>
      <c r="G33" s="85">
        <v>0</v>
      </c>
      <c r="H33" s="182">
        <v>0</v>
      </c>
      <c r="I33" s="182">
        <v>0</v>
      </c>
      <c r="J33" s="182">
        <v>0</v>
      </c>
      <c r="K33" s="182">
        <v>0</v>
      </c>
    </row>
    <row r="34" spans="1:13" ht="14.4" customHeight="1" x14ac:dyDescent="0.3">
      <c r="A34" s="124"/>
      <c r="B34" s="157" t="s">
        <v>421</v>
      </c>
      <c r="C34" s="85">
        <v>60</v>
      </c>
      <c r="D34" s="85">
        <v>-4</v>
      </c>
      <c r="E34" s="85">
        <v>-907</v>
      </c>
      <c r="F34" s="85">
        <v>19</v>
      </c>
      <c r="G34" s="85">
        <v>14</v>
      </c>
      <c r="H34" s="184">
        <v>0</v>
      </c>
      <c r="I34" s="184">
        <v>0</v>
      </c>
      <c r="J34" s="184">
        <v>0</v>
      </c>
      <c r="K34" s="184">
        <v>0</v>
      </c>
      <c r="L34" s="116"/>
      <c r="M34" s="116"/>
    </row>
    <row r="35" spans="1:13" ht="14.4" customHeight="1" x14ac:dyDescent="0.3">
      <c r="A35" s="91"/>
      <c r="B35" s="18" t="s">
        <v>136</v>
      </c>
      <c r="C35" s="88">
        <f t="shared" ref="C35:J35" si="10">C32+C33+C34</f>
        <v>173556</v>
      </c>
      <c r="D35" s="88">
        <f t="shared" si="10"/>
        <v>304654</v>
      </c>
      <c r="E35" s="88">
        <f t="shared" si="10"/>
        <v>84174</v>
      </c>
      <c r="F35" s="88">
        <f t="shared" si="10"/>
        <v>58532</v>
      </c>
      <c r="G35" s="88">
        <f t="shared" si="10"/>
        <v>144949</v>
      </c>
      <c r="H35" s="88">
        <f t="shared" si="10"/>
        <v>173019.97839999996</v>
      </c>
      <c r="I35" s="88">
        <f t="shared" si="10"/>
        <v>151712.53554949991</v>
      </c>
      <c r="J35" s="88">
        <f t="shared" si="10"/>
        <v>179692.33286240016</v>
      </c>
      <c r="K35" s="88">
        <f t="shared" ref="K35" si="11">K32+K33+K34</f>
        <v>186094.7395196475</v>
      </c>
    </row>
    <row r="36" spans="1:13" ht="14.4" customHeight="1" x14ac:dyDescent="0.3">
      <c r="B36" s="1"/>
      <c r="C36" s="94"/>
      <c r="D36" s="87"/>
    </row>
    <row r="37" spans="1:13" ht="14.4" customHeight="1" x14ac:dyDescent="0.3">
      <c r="A37" s="91"/>
      <c r="B37" s="18" t="s">
        <v>104</v>
      </c>
      <c r="C37" s="95">
        <f t="shared" ref="C37:J37" si="12">C35/(C40/1000)</f>
        <v>1.7627427446701625</v>
      </c>
      <c r="D37" s="95">
        <f t="shared" si="12"/>
        <v>2.8503415827332477</v>
      </c>
      <c r="E37" s="95">
        <f t="shared" si="12"/>
        <v>0.73193050797467651</v>
      </c>
      <c r="F37" s="95">
        <f t="shared" si="12"/>
        <v>0.52584987593358634</v>
      </c>
      <c r="G37" s="95">
        <f t="shared" si="12"/>
        <v>1.3024962163998588</v>
      </c>
      <c r="H37" s="95">
        <f t="shared" si="12"/>
        <v>1.5547390270204364</v>
      </c>
      <c r="I37" s="95">
        <f t="shared" si="12"/>
        <v>1.3632726237066326</v>
      </c>
      <c r="J37" s="95">
        <f t="shared" si="12"/>
        <v>1.614696090827396</v>
      </c>
      <c r="K37" s="95">
        <f t="shared" ref="K37" si="13">K35/(K40/1000)</f>
        <v>1.6722274325194251</v>
      </c>
      <c r="L37" s="134"/>
    </row>
    <row r="38" spans="1:13" ht="14.4" customHeight="1" x14ac:dyDescent="0.3">
      <c r="A38" s="91"/>
      <c r="B38" s="18" t="s">
        <v>105</v>
      </c>
      <c r="C38" s="95">
        <f t="shared" ref="C38:J38" si="14">C35/(C42/1000)</f>
        <v>1.7543666171555798</v>
      </c>
      <c r="D38" s="95">
        <f t="shared" si="14"/>
        <v>2.8026276517808326</v>
      </c>
      <c r="E38" s="95">
        <f t="shared" si="14"/>
        <v>0.72928195808471574</v>
      </c>
      <c r="F38" s="95">
        <f t="shared" si="14"/>
        <v>0.52349354362583778</v>
      </c>
      <c r="G38" s="95">
        <f t="shared" si="14"/>
        <v>1.2989964544635197</v>
      </c>
      <c r="H38" s="95">
        <f t="shared" si="14"/>
        <v>1.5505614974436162</v>
      </c>
      <c r="I38" s="95">
        <f t="shared" si="14"/>
        <v>1.3596095576821579</v>
      </c>
      <c r="J38" s="95">
        <f t="shared" si="14"/>
        <v>1.6103574587098664</v>
      </c>
      <c r="K38" s="95">
        <f t="shared" ref="K38" si="15">K35/(K42/1000)</f>
        <v>1.667734215691963</v>
      </c>
    </row>
    <row r="39" spans="1:13" ht="14.4" customHeight="1" x14ac:dyDescent="0.3">
      <c r="B39"/>
      <c r="C39" s="85"/>
      <c r="D39" s="87"/>
    </row>
    <row r="40" spans="1:13" ht="14.4" customHeight="1" x14ac:dyDescent="0.3">
      <c r="B40" t="s">
        <v>106</v>
      </c>
      <c r="C40" s="85">
        <v>98457929</v>
      </c>
      <c r="D40" s="85">
        <v>106883330</v>
      </c>
      <c r="E40" s="85">
        <v>115002721</v>
      </c>
      <c r="F40" s="85">
        <v>111309335</v>
      </c>
      <c r="G40" s="85">
        <v>111285544</v>
      </c>
      <c r="H40" s="182">
        <v>111285544</v>
      </c>
      <c r="I40" s="182">
        <v>111285544</v>
      </c>
      <c r="J40" s="182">
        <v>111285544</v>
      </c>
      <c r="K40" s="182">
        <v>111285544</v>
      </c>
    </row>
    <row r="41" spans="1:13" ht="14.4" customHeight="1" x14ac:dyDescent="0.3">
      <c r="B41"/>
      <c r="C41" s="85"/>
      <c r="D41" s="96">
        <f t="shared" ref="D41:K41" si="16">D40/C40-1</f>
        <v>8.5573615914671608E-2</v>
      </c>
      <c r="E41" s="96">
        <f t="shared" si="16"/>
        <v>7.5964989114766457E-2</v>
      </c>
      <c r="F41" s="96">
        <f t="shared" si="16"/>
        <v>-3.2115640116028188E-2</v>
      </c>
      <c r="G41" s="201">
        <f t="shared" si="16"/>
        <v>-2.1373768875720955E-4</v>
      </c>
      <c r="H41" s="96">
        <f t="shared" si="16"/>
        <v>0</v>
      </c>
      <c r="I41" s="96">
        <f t="shared" si="16"/>
        <v>0</v>
      </c>
      <c r="J41" s="96">
        <f t="shared" si="16"/>
        <v>0</v>
      </c>
      <c r="K41" s="96">
        <f t="shared" si="16"/>
        <v>0</v>
      </c>
    </row>
    <row r="42" spans="1:13" ht="14.4" customHeight="1" x14ac:dyDescent="0.3">
      <c r="B42" t="s">
        <v>107</v>
      </c>
      <c r="C42" s="85">
        <v>98928011</v>
      </c>
      <c r="D42" s="85">
        <v>108702988</v>
      </c>
      <c r="E42" s="85">
        <v>115420379</v>
      </c>
      <c r="F42" s="85">
        <v>111810357</v>
      </c>
      <c r="G42" s="85">
        <v>111585370</v>
      </c>
      <c r="H42" s="182">
        <v>111585370</v>
      </c>
      <c r="I42" s="182">
        <v>111585370</v>
      </c>
      <c r="J42" s="182">
        <v>111585370</v>
      </c>
      <c r="K42" s="182">
        <v>111585370</v>
      </c>
    </row>
    <row r="43" spans="1:13" ht="14.4" customHeight="1" x14ac:dyDescent="0.3">
      <c r="B43"/>
      <c r="C43" s="85"/>
      <c r="D43" s="96">
        <f t="shared" ref="D43:K43" si="17">D42/C42-1</f>
        <v>9.8808991520106471E-2</v>
      </c>
      <c r="E43" s="96">
        <f t="shared" si="17"/>
        <v>6.1795826624379435E-2</v>
      </c>
      <c r="F43" s="96">
        <f t="shared" si="17"/>
        <v>-3.1277162934978731E-2</v>
      </c>
      <c r="G43" s="96">
        <f t="shared" si="17"/>
        <v>-2.0122196729950304E-3</v>
      </c>
      <c r="H43" s="96">
        <f t="shared" si="17"/>
        <v>0</v>
      </c>
      <c r="I43" s="96">
        <f t="shared" si="17"/>
        <v>0</v>
      </c>
      <c r="J43" s="96">
        <f t="shared" si="17"/>
        <v>0</v>
      </c>
      <c r="K43" s="96">
        <f t="shared" si="17"/>
        <v>0</v>
      </c>
    </row>
    <row r="44" spans="1:13" ht="14.4" customHeight="1" x14ac:dyDescent="0.3">
      <c r="B44"/>
      <c r="C44" s="85"/>
      <c r="D44" s="96"/>
      <c r="E44" s="97"/>
      <c r="F44" s="97"/>
      <c r="G44" s="97"/>
      <c r="H44" s="97"/>
      <c r="I44" s="97"/>
      <c r="J44" s="97"/>
      <c r="K44" s="97"/>
    </row>
    <row r="45" spans="1:13" ht="14.4" customHeight="1" x14ac:dyDescent="0.3">
      <c r="B45" s="18" t="s">
        <v>103</v>
      </c>
      <c r="C45" s="88">
        <f t="shared" ref="C45:J45" si="18">C23+C11+C20+C14</f>
        <v>365326</v>
      </c>
      <c r="D45" s="88">
        <f t="shared" si="18"/>
        <v>505564</v>
      </c>
      <c r="E45" s="88">
        <f t="shared" si="18"/>
        <v>323460</v>
      </c>
      <c r="F45" s="88">
        <f t="shared" si="18"/>
        <v>109547</v>
      </c>
      <c r="G45" s="88">
        <f t="shared" si="18"/>
        <v>182461</v>
      </c>
      <c r="H45" s="88">
        <f t="shared" si="18"/>
        <v>202698.97839999996</v>
      </c>
      <c r="I45" s="88">
        <f t="shared" si="18"/>
        <v>201941.53554949991</v>
      </c>
      <c r="J45" s="88">
        <f t="shared" si="18"/>
        <v>229921.33286240016</v>
      </c>
      <c r="K45" s="88">
        <f t="shared" ref="K45" si="19">K23+K11+K20+K14</f>
        <v>236323.7395196475</v>
      </c>
    </row>
    <row r="46" spans="1:13" ht="14.4" customHeight="1" x14ac:dyDescent="0.3">
      <c r="A46" s="91"/>
      <c r="B46" s="18" t="s">
        <v>108</v>
      </c>
      <c r="C46" s="88">
        <f t="shared" ref="C46:J46" si="20">C45-C11+C30+C33+C34</f>
        <v>161995</v>
      </c>
      <c r="D46" s="88">
        <f t="shared" si="20"/>
        <v>263167</v>
      </c>
      <c r="E46" s="88">
        <f t="shared" si="20"/>
        <v>102487</v>
      </c>
      <c r="F46" s="88">
        <f t="shared" si="20"/>
        <v>58360</v>
      </c>
      <c r="G46" s="88">
        <f t="shared" si="20"/>
        <v>132595</v>
      </c>
      <c r="H46" s="88">
        <f t="shared" si="20"/>
        <v>152469.97839999996</v>
      </c>
      <c r="I46" s="88">
        <f t="shared" si="20"/>
        <v>151712.53554949991</v>
      </c>
      <c r="J46" s="88">
        <f t="shared" si="20"/>
        <v>179692.33286240016</v>
      </c>
      <c r="K46" s="88">
        <f t="shared" ref="K46" si="21">K45-K11+K30+K33+K34</f>
        <v>186094.7395196475</v>
      </c>
    </row>
    <row r="47" spans="1:13" ht="14.4" customHeight="1" x14ac:dyDescent="0.3">
      <c r="A47" s="91"/>
      <c r="B47" s="18" t="s">
        <v>95</v>
      </c>
      <c r="C47" s="95">
        <f t="shared" ref="C47:J47" si="22">C46/(C42/1000)</f>
        <v>1.6375038612673614</v>
      </c>
      <c r="D47" s="95">
        <f t="shared" si="22"/>
        <v>2.4209730094999782</v>
      </c>
      <c r="E47" s="95">
        <f t="shared" si="22"/>
        <v>0.88794544679150633</v>
      </c>
      <c r="F47" s="95">
        <f t="shared" si="22"/>
        <v>0.52195522459515975</v>
      </c>
      <c r="G47" s="95">
        <f t="shared" si="22"/>
        <v>1.188283015954511</v>
      </c>
      <c r="H47" s="95">
        <f t="shared" si="22"/>
        <v>1.3663975698606365</v>
      </c>
      <c r="I47" s="95">
        <f t="shared" si="22"/>
        <v>1.3596095576821579</v>
      </c>
      <c r="J47" s="95">
        <f t="shared" si="22"/>
        <v>1.6103574587098664</v>
      </c>
      <c r="K47" s="95">
        <f t="shared" ref="K47" si="23">K46/(K42/1000)</f>
        <v>1.667734215691963</v>
      </c>
    </row>
    <row r="48" spans="1:13" ht="14.4" customHeight="1" x14ac:dyDescent="0.3">
      <c r="B48"/>
      <c r="C48" s="85"/>
      <c r="D48" s="96"/>
      <c r="E48" s="97"/>
      <c r="F48" s="97"/>
      <c r="G48" s="97"/>
      <c r="H48" s="97"/>
      <c r="I48" s="97"/>
      <c r="J48" s="97"/>
      <c r="K48" s="97"/>
    </row>
    <row r="49" spans="1:11" ht="14.4" customHeight="1" x14ac:dyDescent="0.3">
      <c r="B49" s="85"/>
      <c r="C49" s="85"/>
    </row>
    <row r="50" spans="1:11" ht="14.4" customHeight="1" x14ac:dyDescent="0.3">
      <c r="A50" s="83" t="s">
        <v>109</v>
      </c>
      <c r="B50" s="98" t="s">
        <v>110</v>
      </c>
      <c r="C50" s="99"/>
      <c r="D50" s="99"/>
      <c r="E50" s="99"/>
      <c r="F50" s="99"/>
      <c r="G50" s="99"/>
      <c r="H50" s="99"/>
      <c r="I50" s="99"/>
      <c r="J50" s="99"/>
      <c r="K50" s="99"/>
    </row>
    <row r="51" spans="1:11" ht="14.4" customHeight="1" x14ac:dyDescent="0.3">
      <c r="B51" s="16" t="s">
        <v>149</v>
      </c>
      <c r="C51" s="44"/>
      <c r="D51" s="89"/>
      <c r="E51" s="118"/>
      <c r="F51" s="143" t="s">
        <v>150</v>
      </c>
      <c r="G51" s="202"/>
      <c r="H51" s="185">
        <v>86</v>
      </c>
      <c r="I51" s="185">
        <v>87</v>
      </c>
      <c r="J51" s="185">
        <v>88</v>
      </c>
      <c r="K51" s="185">
        <v>88</v>
      </c>
    </row>
    <row r="52" spans="1:11" ht="14.4" customHeight="1" x14ac:dyDescent="0.3">
      <c r="B52" s="16" t="s">
        <v>151</v>
      </c>
      <c r="C52" s="44"/>
      <c r="D52" s="89"/>
      <c r="E52" s="118"/>
      <c r="F52" s="143" t="s">
        <v>150</v>
      </c>
      <c r="G52" s="202"/>
      <c r="H52" s="185">
        <v>86</v>
      </c>
      <c r="I52" s="185">
        <v>87</v>
      </c>
      <c r="J52" s="185">
        <v>88</v>
      </c>
      <c r="K52" s="185">
        <v>88</v>
      </c>
    </row>
    <row r="53" spans="1:11" ht="14.4" customHeight="1" x14ac:dyDescent="0.3">
      <c r="B53" s="16" t="s">
        <v>152</v>
      </c>
      <c r="C53" s="44"/>
      <c r="D53" s="89"/>
      <c r="E53" s="118"/>
      <c r="F53" s="143" t="s">
        <v>150</v>
      </c>
      <c r="G53" s="202"/>
      <c r="H53" s="185">
        <v>86</v>
      </c>
      <c r="I53" s="185">
        <v>87</v>
      </c>
      <c r="J53" s="185">
        <v>88</v>
      </c>
      <c r="K53" s="185">
        <v>88</v>
      </c>
    </row>
    <row r="54" spans="1:11" ht="14.4" customHeight="1" x14ac:dyDescent="0.3">
      <c r="B54" s="16" t="s">
        <v>153</v>
      </c>
      <c r="C54" s="44"/>
      <c r="D54" s="89"/>
      <c r="E54" s="118"/>
      <c r="F54" s="143" t="s">
        <v>150</v>
      </c>
      <c r="G54" s="202"/>
      <c r="H54" s="185">
        <v>86</v>
      </c>
      <c r="I54" s="185">
        <v>87</v>
      </c>
      <c r="J54" s="185">
        <v>88</v>
      </c>
      <c r="K54" s="185">
        <v>88</v>
      </c>
    </row>
    <row r="55" spans="1:11" ht="14.4" customHeight="1" x14ac:dyDescent="0.3">
      <c r="B55" s="16" t="s">
        <v>190</v>
      </c>
      <c r="C55" s="44"/>
      <c r="D55" s="89"/>
      <c r="E55" s="118"/>
      <c r="F55" s="143" t="s">
        <v>150</v>
      </c>
      <c r="G55" s="202"/>
      <c r="H55" s="185">
        <v>86</v>
      </c>
      <c r="I55" s="185">
        <v>87</v>
      </c>
      <c r="J55" s="185">
        <v>88</v>
      </c>
      <c r="K55" s="185">
        <v>88</v>
      </c>
    </row>
    <row r="56" spans="1:11" ht="14.4" customHeight="1" x14ac:dyDescent="0.3">
      <c r="B56" s="16" t="s">
        <v>191</v>
      </c>
      <c r="C56" s="44"/>
      <c r="D56" s="89"/>
      <c r="E56" s="118"/>
      <c r="F56" s="143" t="s">
        <v>150</v>
      </c>
      <c r="G56" s="202"/>
      <c r="H56" s="185">
        <v>86</v>
      </c>
      <c r="I56" s="185">
        <v>87</v>
      </c>
      <c r="J56" s="185">
        <v>88</v>
      </c>
      <c r="K56" s="185">
        <v>88</v>
      </c>
    </row>
    <row r="57" spans="1:11" ht="14.4" customHeight="1" x14ac:dyDescent="0.3">
      <c r="B57" s="16" t="s">
        <v>192</v>
      </c>
      <c r="C57" s="44"/>
      <c r="D57" s="89"/>
      <c r="E57" s="118"/>
      <c r="F57" s="143" t="s">
        <v>150</v>
      </c>
      <c r="G57" s="202"/>
      <c r="H57" s="185">
        <v>86</v>
      </c>
      <c r="I57" s="185">
        <v>87</v>
      </c>
      <c r="J57" s="185">
        <v>88</v>
      </c>
      <c r="K57" s="185">
        <v>88</v>
      </c>
    </row>
    <row r="58" spans="1:11" ht="14.4" customHeight="1" x14ac:dyDescent="0.3">
      <c r="B58" s="16" t="s">
        <v>193</v>
      </c>
      <c r="C58" s="44"/>
      <c r="D58" s="89"/>
      <c r="E58" s="118"/>
      <c r="F58" s="143" t="s">
        <v>150</v>
      </c>
      <c r="G58" s="202"/>
      <c r="H58" s="185">
        <v>86</v>
      </c>
      <c r="I58" s="185">
        <v>87</v>
      </c>
      <c r="J58" s="185">
        <v>88</v>
      </c>
      <c r="K58" s="185">
        <v>88</v>
      </c>
    </row>
    <row r="59" spans="1:11" ht="14.4" customHeight="1" x14ac:dyDescent="0.3">
      <c r="B59" s="16" t="s">
        <v>194</v>
      </c>
      <c r="C59" s="44"/>
      <c r="D59" s="89"/>
      <c r="E59" s="118"/>
      <c r="F59" s="143" t="s">
        <v>150</v>
      </c>
      <c r="G59" s="202"/>
      <c r="H59" s="185">
        <v>86</v>
      </c>
      <c r="I59" s="185">
        <v>87</v>
      </c>
      <c r="J59" s="185">
        <v>88</v>
      </c>
      <c r="K59" s="185">
        <v>88</v>
      </c>
    </row>
    <row r="60" spans="1:11" ht="14.4" customHeight="1" x14ac:dyDescent="0.3">
      <c r="B60" s="16" t="s">
        <v>195</v>
      </c>
      <c r="C60" s="44"/>
      <c r="D60" s="89"/>
      <c r="E60" s="118"/>
      <c r="F60" s="143" t="s">
        <v>150</v>
      </c>
      <c r="G60" s="202"/>
      <c r="H60" s="185">
        <v>86</v>
      </c>
      <c r="I60" s="185">
        <v>87</v>
      </c>
      <c r="J60" s="185">
        <v>88</v>
      </c>
      <c r="K60" s="185">
        <v>88</v>
      </c>
    </row>
    <row r="61" spans="1:11" ht="14.4" customHeight="1" x14ac:dyDescent="0.3">
      <c r="B61" s="16" t="s">
        <v>196</v>
      </c>
      <c r="C61" s="44"/>
      <c r="D61" s="89"/>
      <c r="E61" s="118"/>
      <c r="F61" s="143" t="s">
        <v>150</v>
      </c>
      <c r="G61" s="202"/>
      <c r="H61" s="185">
        <v>86</v>
      </c>
      <c r="I61" s="185">
        <v>87</v>
      </c>
      <c r="J61" s="185">
        <v>88</v>
      </c>
      <c r="K61" s="185">
        <v>88</v>
      </c>
    </row>
    <row r="62" spans="1:11" ht="14.4" customHeight="1" x14ac:dyDescent="0.3">
      <c r="B62" s="16" t="s">
        <v>197</v>
      </c>
      <c r="C62" s="44"/>
      <c r="D62" s="89"/>
      <c r="E62" s="118"/>
      <c r="F62" s="143" t="s">
        <v>150</v>
      </c>
      <c r="G62" s="202"/>
      <c r="H62" s="185">
        <v>86</v>
      </c>
      <c r="I62" s="185">
        <v>87</v>
      </c>
      <c r="J62" s="185">
        <v>88</v>
      </c>
      <c r="K62" s="185">
        <v>88</v>
      </c>
    </row>
    <row r="63" spans="1:11" ht="14.4" customHeight="1" x14ac:dyDescent="0.3">
      <c r="B63" s="16" t="s">
        <v>198</v>
      </c>
      <c r="C63" s="44"/>
      <c r="D63" s="89"/>
      <c r="E63" s="118"/>
      <c r="F63" s="143" t="s">
        <v>150</v>
      </c>
      <c r="G63" s="202"/>
      <c r="H63" s="185">
        <v>86</v>
      </c>
      <c r="I63" s="185">
        <v>87</v>
      </c>
      <c r="J63" s="185">
        <v>88</v>
      </c>
      <c r="K63" s="185">
        <v>88</v>
      </c>
    </row>
    <row r="64" spans="1:11" ht="14.4" customHeight="1" x14ac:dyDescent="0.3">
      <c r="B64" s="16" t="s">
        <v>199</v>
      </c>
      <c r="C64" s="44"/>
      <c r="D64" s="89"/>
      <c r="E64" s="118"/>
      <c r="F64" s="143" t="s">
        <v>150</v>
      </c>
      <c r="G64" s="202"/>
      <c r="H64" s="185">
        <v>86</v>
      </c>
      <c r="I64" s="185">
        <v>87</v>
      </c>
      <c r="J64" s="185">
        <v>88</v>
      </c>
      <c r="K64" s="185">
        <v>88</v>
      </c>
    </row>
    <row r="65" spans="2:11" ht="14.4" customHeight="1" x14ac:dyDescent="0.3">
      <c r="B65" s="16" t="s">
        <v>200</v>
      </c>
      <c r="C65" s="44"/>
      <c r="D65" s="89"/>
      <c r="E65" s="118"/>
      <c r="F65" s="143" t="s">
        <v>150</v>
      </c>
      <c r="G65" s="202"/>
      <c r="H65" s="185">
        <v>86</v>
      </c>
      <c r="I65" s="185">
        <v>87</v>
      </c>
      <c r="J65" s="185">
        <v>88</v>
      </c>
      <c r="K65" s="185">
        <v>88</v>
      </c>
    </row>
    <row r="66" spans="2:11" ht="14.4" customHeight="1" x14ac:dyDescent="0.3">
      <c r="B66" s="16" t="s">
        <v>201</v>
      </c>
      <c r="C66" s="44"/>
      <c r="D66" s="89"/>
      <c r="E66" s="118"/>
      <c r="F66" s="143" t="s">
        <v>150</v>
      </c>
      <c r="G66" s="202"/>
      <c r="H66" s="185">
        <v>86</v>
      </c>
      <c r="I66" s="185">
        <v>87</v>
      </c>
      <c r="J66" s="185">
        <v>88</v>
      </c>
      <c r="K66" s="185">
        <v>88</v>
      </c>
    </row>
    <row r="67" spans="2:11" ht="14.4" customHeight="1" x14ac:dyDescent="0.3">
      <c r="B67" s="16" t="s">
        <v>202</v>
      </c>
      <c r="C67" s="44"/>
      <c r="D67" s="89"/>
      <c r="E67" s="118"/>
      <c r="F67" s="143" t="s">
        <v>150</v>
      </c>
      <c r="G67" s="202"/>
      <c r="H67" s="185">
        <v>86</v>
      </c>
      <c r="I67" s="185">
        <v>87</v>
      </c>
      <c r="J67" s="185">
        <v>88</v>
      </c>
      <c r="K67" s="185">
        <v>88</v>
      </c>
    </row>
    <row r="68" spans="2:11" ht="14.4" customHeight="1" x14ac:dyDescent="0.3">
      <c r="B68" s="16" t="s">
        <v>154</v>
      </c>
      <c r="C68" s="44"/>
      <c r="D68" s="89"/>
      <c r="E68" s="118"/>
      <c r="F68" s="143" t="s">
        <v>155</v>
      </c>
      <c r="G68" s="202"/>
      <c r="H68" s="185">
        <v>86</v>
      </c>
      <c r="I68" s="185">
        <v>87</v>
      </c>
      <c r="J68" s="185">
        <v>88</v>
      </c>
      <c r="K68" s="185">
        <v>88</v>
      </c>
    </row>
    <row r="69" spans="2:11" ht="14.4" customHeight="1" x14ac:dyDescent="0.3">
      <c r="B69" s="16" t="s">
        <v>156</v>
      </c>
      <c r="C69" s="44"/>
      <c r="D69" s="89"/>
      <c r="E69" s="118"/>
      <c r="F69" s="143" t="s">
        <v>155</v>
      </c>
      <c r="G69" s="202"/>
      <c r="H69" s="185">
        <v>86</v>
      </c>
      <c r="I69" s="185">
        <v>87</v>
      </c>
      <c r="J69" s="185">
        <v>88</v>
      </c>
      <c r="K69" s="185">
        <v>88</v>
      </c>
    </row>
    <row r="70" spans="2:11" ht="14.4" customHeight="1" x14ac:dyDescent="0.3">
      <c r="B70" s="16" t="s">
        <v>204</v>
      </c>
      <c r="C70" s="44"/>
      <c r="D70" s="89"/>
      <c r="E70" s="118"/>
      <c r="F70" s="143" t="s">
        <v>155</v>
      </c>
      <c r="G70" s="202"/>
      <c r="H70" s="185">
        <v>86</v>
      </c>
      <c r="I70" s="185">
        <v>87</v>
      </c>
      <c r="J70" s="185">
        <v>88</v>
      </c>
      <c r="K70" s="185">
        <v>88</v>
      </c>
    </row>
    <row r="71" spans="2:11" ht="14.4" customHeight="1" x14ac:dyDescent="0.3">
      <c r="B71" s="16" t="s">
        <v>205</v>
      </c>
      <c r="C71" s="44"/>
      <c r="D71" s="89"/>
      <c r="E71" s="118"/>
      <c r="F71" s="143" t="s">
        <v>155</v>
      </c>
      <c r="G71" s="202"/>
      <c r="H71" s="185">
        <v>86</v>
      </c>
      <c r="I71" s="185">
        <v>87</v>
      </c>
      <c r="J71" s="185">
        <v>88</v>
      </c>
      <c r="K71" s="185">
        <v>88</v>
      </c>
    </row>
    <row r="72" spans="2:11" ht="14.4" customHeight="1" x14ac:dyDescent="0.3">
      <c r="B72" s="16" t="s">
        <v>206</v>
      </c>
      <c r="C72" s="44"/>
      <c r="D72" s="89"/>
      <c r="E72" s="118"/>
      <c r="F72" s="143" t="s">
        <v>155</v>
      </c>
      <c r="G72" s="202"/>
      <c r="H72" s="185">
        <v>86</v>
      </c>
      <c r="I72" s="185">
        <v>87</v>
      </c>
      <c r="J72" s="185">
        <v>88</v>
      </c>
      <c r="K72" s="185">
        <v>88</v>
      </c>
    </row>
    <row r="73" spans="2:11" ht="14.4" customHeight="1" x14ac:dyDescent="0.3">
      <c r="B73" s="16" t="s">
        <v>207</v>
      </c>
      <c r="C73" s="44"/>
      <c r="D73" s="89"/>
      <c r="E73" s="118"/>
      <c r="F73" s="143" t="s">
        <v>155</v>
      </c>
      <c r="G73" s="202"/>
      <c r="H73" s="185">
        <v>86</v>
      </c>
      <c r="I73" s="185">
        <v>87</v>
      </c>
      <c r="J73" s="185">
        <v>88</v>
      </c>
      <c r="K73" s="185">
        <v>88</v>
      </c>
    </row>
    <row r="74" spans="2:11" ht="14.4" customHeight="1" x14ac:dyDescent="0.3">
      <c r="B74" s="16" t="s">
        <v>208</v>
      </c>
      <c r="C74" s="44"/>
      <c r="D74" s="89"/>
      <c r="E74" s="118"/>
      <c r="F74" s="143" t="s">
        <v>155</v>
      </c>
      <c r="G74" s="202"/>
      <c r="H74" s="185">
        <v>86</v>
      </c>
      <c r="I74" s="185">
        <v>87</v>
      </c>
      <c r="J74" s="185">
        <v>88</v>
      </c>
      <c r="K74" s="185">
        <v>88</v>
      </c>
    </row>
    <row r="75" spans="2:11" ht="14.4" customHeight="1" x14ac:dyDescent="0.3">
      <c r="B75" s="16" t="s">
        <v>209</v>
      </c>
      <c r="C75" s="44"/>
      <c r="D75" s="89"/>
      <c r="E75" s="118"/>
      <c r="F75" s="143" t="s">
        <v>155</v>
      </c>
      <c r="G75" s="202"/>
      <c r="H75" s="185">
        <v>86</v>
      </c>
      <c r="I75" s="185">
        <v>87</v>
      </c>
      <c r="J75" s="185">
        <v>88</v>
      </c>
      <c r="K75" s="185">
        <v>88</v>
      </c>
    </row>
    <row r="76" spans="2:11" ht="14.4" customHeight="1" x14ac:dyDescent="0.3">
      <c r="B76" s="16" t="s">
        <v>210</v>
      </c>
      <c r="C76" s="44"/>
      <c r="D76" s="89"/>
      <c r="E76" s="118"/>
      <c r="F76" s="143" t="s">
        <v>155</v>
      </c>
      <c r="G76" s="202"/>
      <c r="H76" s="185">
        <v>86</v>
      </c>
      <c r="I76" s="185">
        <v>87</v>
      </c>
      <c r="J76" s="185">
        <v>88</v>
      </c>
      <c r="K76" s="185">
        <v>88</v>
      </c>
    </row>
    <row r="77" spans="2:11" ht="14.4" customHeight="1" x14ac:dyDescent="0.3">
      <c r="B77" s="16" t="s">
        <v>216</v>
      </c>
      <c r="C77" s="44"/>
      <c r="D77" s="89"/>
      <c r="E77" s="118"/>
      <c r="F77" s="143" t="s">
        <v>155</v>
      </c>
      <c r="G77" s="202"/>
      <c r="H77" s="185">
        <v>86</v>
      </c>
      <c r="I77" s="185">
        <v>87</v>
      </c>
      <c r="J77" s="185">
        <v>88</v>
      </c>
      <c r="K77" s="185">
        <v>88</v>
      </c>
    </row>
    <row r="78" spans="2:11" ht="14.4" customHeight="1" x14ac:dyDescent="0.3">
      <c r="B78" s="16" t="s">
        <v>218</v>
      </c>
      <c r="C78" s="44"/>
      <c r="D78" s="89"/>
      <c r="E78" s="118"/>
      <c r="F78" s="143" t="s">
        <v>155</v>
      </c>
      <c r="G78" s="202"/>
      <c r="H78" s="185">
        <v>86</v>
      </c>
      <c r="I78" s="185">
        <v>87</v>
      </c>
      <c r="J78" s="185">
        <v>88</v>
      </c>
      <c r="K78" s="185">
        <v>88</v>
      </c>
    </row>
    <row r="79" spans="2:11" ht="14.4" customHeight="1" x14ac:dyDescent="0.3">
      <c r="B79" s="16" t="s">
        <v>215</v>
      </c>
      <c r="C79" s="44"/>
      <c r="D79" s="89"/>
      <c r="E79" s="118"/>
      <c r="F79" s="143" t="s">
        <v>155</v>
      </c>
      <c r="G79" s="202"/>
      <c r="H79" s="185">
        <v>86</v>
      </c>
      <c r="I79" s="185">
        <v>87</v>
      </c>
      <c r="J79" s="185">
        <v>88</v>
      </c>
      <c r="K79" s="185">
        <v>88</v>
      </c>
    </row>
    <row r="80" spans="2:11" ht="14.4" customHeight="1" x14ac:dyDescent="0.3">
      <c r="B80" s="16" t="s">
        <v>219</v>
      </c>
      <c r="C80" s="44"/>
      <c r="D80" s="89"/>
      <c r="E80" s="118"/>
      <c r="F80" s="143" t="s">
        <v>155</v>
      </c>
      <c r="G80" s="202"/>
      <c r="H80" s="185">
        <v>86</v>
      </c>
      <c r="I80" s="185">
        <v>87</v>
      </c>
      <c r="J80" s="185">
        <v>88</v>
      </c>
      <c r="K80" s="185">
        <v>88</v>
      </c>
    </row>
    <row r="81" spans="2:11" ht="14.4" customHeight="1" x14ac:dyDescent="0.3">
      <c r="B81" s="16" t="s">
        <v>157</v>
      </c>
      <c r="C81" s="44"/>
      <c r="D81" s="89"/>
      <c r="E81" s="118"/>
      <c r="F81" s="143" t="s">
        <v>155</v>
      </c>
      <c r="G81" s="202"/>
      <c r="H81" s="185">
        <v>86</v>
      </c>
      <c r="I81" s="185">
        <v>87</v>
      </c>
      <c r="J81" s="185">
        <v>88</v>
      </c>
      <c r="K81" s="185">
        <v>88</v>
      </c>
    </row>
    <row r="82" spans="2:11" ht="14.4" customHeight="1" x14ac:dyDescent="0.3">
      <c r="B82" s="22" t="s">
        <v>221</v>
      </c>
      <c r="C82" s="44"/>
      <c r="D82" s="89"/>
      <c r="E82" s="118"/>
      <c r="F82" s="143" t="s">
        <v>155</v>
      </c>
      <c r="G82" s="202"/>
      <c r="H82" s="185">
        <v>15</v>
      </c>
      <c r="I82" s="185">
        <v>0</v>
      </c>
      <c r="J82" s="185">
        <v>0</v>
      </c>
      <c r="K82" s="185">
        <v>0</v>
      </c>
    </row>
    <row r="83" spans="2:11" ht="14.4" customHeight="1" x14ac:dyDescent="0.3">
      <c r="B83" s="158" t="s">
        <v>158</v>
      </c>
      <c r="C83" s="44"/>
      <c r="D83" s="89"/>
      <c r="E83" s="118"/>
      <c r="F83" s="159" t="s">
        <v>155</v>
      </c>
      <c r="G83" s="202"/>
      <c r="H83" s="185">
        <v>86</v>
      </c>
      <c r="I83" s="185">
        <v>87</v>
      </c>
      <c r="J83" s="185">
        <v>88</v>
      </c>
      <c r="K83" s="185">
        <v>88</v>
      </c>
    </row>
    <row r="84" spans="2:11" ht="14.4" customHeight="1" x14ac:dyDescent="0.3">
      <c r="B84" s="16" t="s">
        <v>222</v>
      </c>
      <c r="C84" s="44"/>
      <c r="D84" s="89"/>
      <c r="E84" s="118"/>
      <c r="F84" s="143" t="s">
        <v>159</v>
      </c>
      <c r="G84" s="202"/>
      <c r="H84" s="185">
        <v>86</v>
      </c>
      <c r="I84" s="185">
        <v>87</v>
      </c>
      <c r="J84" s="185">
        <v>88</v>
      </c>
      <c r="K84" s="185">
        <v>88</v>
      </c>
    </row>
    <row r="85" spans="2:11" ht="14.4" customHeight="1" x14ac:dyDescent="0.3">
      <c r="B85" s="16" t="s">
        <v>223</v>
      </c>
      <c r="C85" s="44"/>
      <c r="D85" s="89"/>
      <c r="E85" s="118"/>
      <c r="F85" s="143" t="s">
        <v>159</v>
      </c>
      <c r="G85" s="202"/>
      <c r="H85" s="185">
        <v>86</v>
      </c>
      <c r="I85" s="185">
        <v>87</v>
      </c>
      <c r="J85" s="185">
        <v>88</v>
      </c>
      <c r="K85" s="185">
        <v>88</v>
      </c>
    </row>
    <row r="86" spans="2:11" ht="14.4" customHeight="1" x14ac:dyDescent="0.3">
      <c r="B86" s="16" t="s">
        <v>160</v>
      </c>
      <c r="C86" s="44"/>
      <c r="D86" s="89"/>
      <c r="E86" s="118"/>
      <c r="F86" s="143" t="s">
        <v>159</v>
      </c>
      <c r="G86" s="202"/>
      <c r="H86" s="185">
        <v>86</v>
      </c>
      <c r="I86" s="185">
        <v>87</v>
      </c>
      <c r="J86" s="185">
        <v>88</v>
      </c>
      <c r="K86" s="185">
        <v>88</v>
      </c>
    </row>
    <row r="87" spans="2:11" ht="14.4" customHeight="1" x14ac:dyDescent="0.3">
      <c r="B87" s="16" t="s">
        <v>161</v>
      </c>
      <c r="C87" s="44"/>
      <c r="D87" s="89"/>
      <c r="E87" s="118"/>
      <c r="F87" s="143" t="s">
        <v>159</v>
      </c>
      <c r="G87" s="202"/>
      <c r="H87" s="185">
        <v>86</v>
      </c>
      <c r="I87" s="185">
        <v>87</v>
      </c>
      <c r="J87" s="185">
        <v>88</v>
      </c>
      <c r="K87" s="185">
        <v>88</v>
      </c>
    </row>
    <row r="88" spans="2:11" ht="14.4" customHeight="1" x14ac:dyDescent="0.3">
      <c r="B88" s="16" t="s">
        <v>225</v>
      </c>
      <c r="C88" s="44"/>
      <c r="D88" s="89"/>
      <c r="E88" s="118"/>
      <c r="F88" s="143" t="s">
        <v>159</v>
      </c>
      <c r="G88" s="202"/>
      <c r="H88" s="185">
        <v>86</v>
      </c>
      <c r="I88" s="185">
        <v>87</v>
      </c>
      <c r="J88" s="185">
        <v>88</v>
      </c>
      <c r="K88" s="185">
        <v>88</v>
      </c>
    </row>
    <row r="89" spans="2:11" ht="14.4" customHeight="1" x14ac:dyDescent="0.3">
      <c r="B89" s="16" t="s">
        <v>226</v>
      </c>
      <c r="C89" s="44"/>
      <c r="D89" s="89"/>
      <c r="E89" s="118"/>
      <c r="F89" s="143" t="s">
        <v>159</v>
      </c>
      <c r="G89" s="202"/>
      <c r="H89" s="185">
        <v>86</v>
      </c>
      <c r="I89" s="185">
        <v>87</v>
      </c>
      <c r="J89" s="185">
        <v>88</v>
      </c>
      <c r="K89" s="185">
        <v>88</v>
      </c>
    </row>
    <row r="90" spans="2:11" ht="14.4" customHeight="1" x14ac:dyDescent="0.3">
      <c r="B90" s="16" t="s">
        <v>227</v>
      </c>
      <c r="C90" s="44"/>
      <c r="D90" s="89"/>
      <c r="E90" s="118"/>
      <c r="F90" s="143" t="s">
        <v>159</v>
      </c>
      <c r="G90" s="202"/>
      <c r="H90" s="185">
        <v>86</v>
      </c>
      <c r="I90" s="185">
        <v>87</v>
      </c>
      <c r="J90" s="185">
        <v>88</v>
      </c>
      <c r="K90" s="185">
        <v>88</v>
      </c>
    </row>
    <row r="91" spans="2:11" ht="14.4" customHeight="1" x14ac:dyDescent="0.3">
      <c r="B91" s="16" t="s">
        <v>228</v>
      </c>
      <c r="C91" s="44"/>
      <c r="D91" s="89"/>
      <c r="E91" s="118"/>
      <c r="F91" s="143" t="s">
        <v>162</v>
      </c>
      <c r="G91" s="202"/>
      <c r="H91" s="185">
        <v>86</v>
      </c>
      <c r="I91" s="185">
        <v>87</v>
      </c>
      <c r="J91" s="185">
        <v>88</v>
      </c>
      <c r="K91" s="185">
        <v>88</v>
      </c>
    </row>
    <row r="92" spans="2:11" ht="14.4" customHeight="1" x14ac:dyDescent="0.3">
      <c r="B92" s="16" t="s">
        <v>229</v>
      </c>
      <c r="C92" s="44"/>
      <c r="D92" s="89"/>
      <c r="E92" s="118"/>
      <c r="F92" s="143" t="s">
        <v>162</v>
      </c>
      <c r="G92" s="202"/>
      <c r="H92" s="185">
        <v>86</v>
      </c>
      <c r="I92" s="185">
        <v>87</v>
      </c>
      <c r="J92" s="185">
        <v>88</v>
      </c>
      <c r="K92" s="185">
        <v>88</v>
      </c>
    </row>
    <row r="93" spans="2:11" ht="14.4" customHeight="1" x14ac:dyDescent="0.3">
      <c r="B93" s="16" t="s">
        <v>230</v>
      </c>
      <c r="C93" s="44"/>
      <c r="D93" s="89"/>
      <c r="E93" s="118"/>
      <c r="F93" s="143" t="s">
        <v>162</v>
      </c>
      <c r="G93" s="202"/>
      <c r="H93" s="185">
        <v>86</v>
      </c>
      <c r="I93" s="185">
        <v>87</v>
      </c>
      <c r="J93" s="185">
        <v>88</v>
      </c>
      <c r="K93" s="185">
        <v>88</v>
      </c>
    </row>
    <row r="94" spans="2:11" ht="14.4" customHeight="1" x14ac:dyDescent="0.3">
      <c r="B94" s="16" t="s">
        <v>234</v>
      </c>
      <c r="C94" s="44"/>
      <c r="D94" s="89"/>
      <c r="E94" s="118"/>
      <c r="F94" s="143" t="s">
        <v>162</v>
      </c>
      <c r="G94" s="202"/>
      <c r="H94" s="185">
        <v>86</v>
      </c>
      <c r="I94" s="185">
        <v>87</v>
      </c>
      <c r="J94" s="185">
        <v>88</v>
      </c>
      <c r="K94" s="185">
        <v>88</v>
      </c>
    </row>
    <row r="95" spans="2:11" ht="14.4" customHeight="1" x14ac:dyDescent="0.3">
      <c r="B95" s="16" t="s">
        <v>235</v>
      </c>
      <c r="C95" s="44"/>
      <c r="D95" s="89"/>
      <c r="E95" s="118"/>
      <c r="F95" s="143" t="s">
        <v>162</v>
      </c>
      <c r="G95" s="202"/>
      <c r="H95" s="185">
        <v>86</v>
      </c>
      <c r="I95" s="185">
        <v>87</v>
      </c>
      <c r="J95" s="185">
        <v>88</v>
      </c>
      <c r="K95" s="185">
        <v>88</v>
      </c>
    </row>
    <row r="96" spans="2:11" ht="14.4" customHeight="1" x14ac:dyDescent="0.3">
      <c r="B96" s="16" t="s">
        <v>236</v>
      </c>
      <c r="C96" s="44"/>
      <c r="D96" s="89"/>
      <c r="E96" s="118"/>
      <c r="F96" s="143" t="s">
        <v>162</v>
      </c>
      <c r="G96" s="202"/>
      <c r="H96" s="185">
        <v>86</v>
      </c>
      <c r="I96" s="185">
        <v>87</v>
      </c>
      <c r="J96" s="185">
        <v>88</v>
      </c>
      <c r="K96" s="185">
        <v>88</v>
      </c>
    </row>
    <row r="97" spans="2:11" ht="14.4" customHeight="1" x14ac:dyDescent="0.3">
      <c r="B97" s="16" t="s">
        <v>163</v>
      </c>
      <c r="C97" s="44"/>
      <c r="D97" s="89"/>
      <c r="E97" s="118"/>
      <c r="F97" s="143" t="s">
        <v>162</v>
      </c>
      <c r="G97" s="202"/>
      <c r="H97" s="185">
        <v>86</v>
      </c>
      <c r="I97" s="185">
        <v>87</v>
      </c>
      <c r="J97" s="185">
        <v>88</v>
      </c>
      <c r="K97" s="185">
        <v>88</v>
      </c>
    </row>
    <row r="98" spans="2:11" ht="14.4" customHeight="1" x14ac:dyDescent="0.3">
      <c r="B98" s="16" t="s">
        <v>237</v>
      </c>
      <c r="C98" s="44"/>
      <c r="D98" s="89"/>
      <c r="E98" s="118"/>
      <c r="F98" s="143" t="s">
        <v>162</v>
      </c>
      <c r="G98" s="202"/>
      <c r="H98" s="185">
        <v>86</v>
      </c>
      <c r="I98" s="185">
        <v>87</v>
      </c>
      <c r="J98" s="185">
        <v>88</v>
      </c>
      <c r="K98" s="185">
        <v>88</v>
      </c>
    </row>
    <row r="99" spans="2:11" ht="14.4" customHeight="1" x14ac:dyDescent="0.3">
      <c r="B99" s="16" t="s">
        <v>238</v>
      </c>
      <c r="C99" s="44"/>
      <c r="D99" s="89"/>
      <c r="E99" s="118"/>
      <c r="F99" s="143" t="s">
        <v>162</v>
      </c>
      <c r="G99" s="202"/>
      <c r="H99" s="185">
        <v>86</v>
      </c>
      <c r="I99" s="185">
        <v>87</v>
      </c>
      <c r="J99" s="185">
        <v>88</v>
      </c>
      <c r="K99" s="185">
        <v>88</v>
      </c>
    </row>
    <row r="100" spans="2:11" ht="14.4" customHeight="1" x14ac:dyDescent="0.3">
      <c r="B100" s="16" t="s">
        <v>239</v>
      </c>
      <c r="C100" s="44"/>
      <c r="D100" s="89"/>
      <c r="E100" s="118"/>
      <c r="F100" s="143" t="s">
        <v>162</v>
      </c>
      <c r="G100" s="202"/>
      <c r="H100" s="185">
        <v>86</v>
      </c>
      <c r="I100" s="185">
        <v>87</v>
      </c>
      <c r="J100" s="185">
        <v>88</v>
      </c>
      <c r="K100" s="185">
        <v>88</v>
      </c>
    </row>
    <row r="101" spans="2:11" ht="14.4" customHeight="1" x14ac:dyDescent="0.3">
      <c r="B101" s="16" t="s">
        <v>240</v>
      </c>
      <c r="C101" s="44"/>
      <c r="D101" s="89"/>
      <c r="E101" s="118"/>
      <c r="F101" s="143" t="s">
        <v>162</v>
      </c>
      <c r="G101" s="202"/>
      <c r="H101" s="185">
        <v>86</v>
      </c>
      <c r="I101" s="185">
        <v>87</v>
      </c>
      <c r="J101" s="185">
        <v>88</v>
      </c>
      <c r="K101" s="185">
        <v>88</v>
      </c>
    </row>
    <row r="102" spans="2:11" ht="14.4" customHeight="1" x14ac:dyDescent="0.3">
      <c r="B102" s="16" t="s">
        <v>241</v>
      </c>
      <c r="C102" s="44"/>
      <c r="D102" s="89"/>
      <c r="E102" s="118"/>
      <c r="F102" s="143" t="s">
        <v>162</v>
      </c>
      <c r="G102" s="202"/>
      <c r="H102" s="185">
        <v>86</v>
      </c>
      <c r="I102" s="185">
        <v>87</v>
      </c>
      <c r="J102" s="185">
        <v>88</v>
      </c>
      <c r="K102" s="185">
        <v>88</v>
      </c>
    </row>
    <row r="103" spans="2:11" ht="14.4" customHeight="1" x14ac:dyDescent="0.3">
      <c r="B103" s="22" t="s">
        <v>243</v>
      </c>
      <c r="C103" s="44"/>
      <c r="D103" s="89"/>
      <c r="E103" s="118"/>
      <c r="F103" s="143" t="s">
        <v>162</v>
      </c>
      <c r="G103" s="202"/>
      <c r="H103" s="185">
        <v>45</v>
      </c>
      <c r="I103" s="185">
        <v>0</v>
      </c>
      <c r="J103" s="185">
        <v>0</v>
      </c>
      <c r="K103" s="185">
        <v>0</v>
      </c>
    </row>
    <row r="104" spans="2:11" ht="14.4" customHeight="1" x14ac:dyDescent="0.3">
      <c r="B104" s="16" t="s">
        <v>244</v>
      </c>
      <c r="C104" s="44"/>
      <c r="D104" s="89"/>
      <c r="E104" s="118"/>
      <c r="F104" s="143" t="s">
        <v>162</v>
      </c>
      <c r="G104" s="202"/>
      <c r="H104" s="185">
        <v>86</v>
      </c>
      <c r="I104" s="185">
        <v>87</v>
      </c>
      <c r="J104" s="185">
        <v>88</v>
      </c>
      <c r="K104" s="185">
        <v>88</v>
      </c>
    </row>
    <row r="105" spans="2:11" ht="14.4" customHeight="1" x14ac:dyDescent="0.3">
      <c r="B105" s="16" t="s">
        <v>245</v>
      </c>
      <c r="C105" s="44"/>
      <c r="D105" s="89"/>
      <c r="E105" s="118"/>
      <c r="F105" s="143" t="s">
        <v>162</v>
      </c>
      <c r="G105" s="202"/>
      <c r="H105" s="185">
        <v>86</v>
      </c>
      <c r="I105" s="185">
        <v>87</v>
      </c>
      <c r="J105" s="185">
        <v>88</v>
      </c>
      <c r="K105" s="185">
        <v>88</v>
      </c>
    </row>
    <row r="106" spans="2:11" ht="14.4" customHeight="1" x14ac:dyDescent="0.3">
      <c r="B106" s="16" t="s">
        <v>246</v>
      </c>
      <c r="C106" s="44"/>
      <c r="D106" s="89"/>
      <c r="E106" s="118"/>
      <c r="F106" s="143" t="s">
        <v>162</v>
      </c>
      <c r="G106" s="202"/>
      <c r="H106" s="185">
        <v>86</v>
      </c>
      <c r="I106" s="185">
        <v>87</v>
      </c>
      <c r="J106" s="185">
        <v>88</v>
      </c>
      <c r="K106" s="185">
        <v>88</v>
      </c>
    </row>
    <row r="107" spans="2:11" ht="14.4" customHeight="1" x14ac:dyDescent="0.3">
      <c r="B107" s="16" t="s">
        <v>247</v>
      </c>
      <c r="C107" s="44"/>
      <c r="D107" s="89"/>
      <c r="E107" s="118"/>
      <c r="F107" s="143" t="s">
        <v>162</v>
      </c>
      <c r="G107" s="202"/>
      <c r="H107" s="185">
        <v>86</v>
      </c>
      <c r="I107" s="185">
        <v>87</v>
      </c>
      <c r="J107" s="185">
        <v>88</v>
      </c>
      <c r="K107" s="185">
        <v>88</v>
      </c>
    </row>
    <row r="108" spans="2:11" ht="14.4" customHeight="1" x14ac:dyDescent="0.3">
      <c r="B108" s="16" t="s">
        <v>248</v>
      </c>
      <c r="C108" s="44"/>
      <c r="D108" s="89"/>
      <c r="E108" s="118"/>
      <c r="F108" s="143" t="s">
        <v>162</v>
      </c>
      <c r="G108" s="202"/>
      <c r="H108" s="185">
        <v>86</v>
      </c>
      <c r="I108" s="185">
        <v>87</v>
      </c>
      <c r="J108" s="185">
        <v>88</v>
      </c>
      <c r="K108" s="185">
        <v>88</v>
      </c>
    </row>
    <row r="109" spans="2:11" ht="14.4" customHeight="1" x14ac:dyDescent="0.3">
      <c r="B109" s="16" t="s">
        <v>249</v>
      </c>
      <c r="C109" s="44"/>
      <c r="D109" s="89"/>
      <c r="E109" s="118"/>
      <c r="F109" s="143" t="s">
        <v>162</v>
      </c>
      <c r="G109" s="202"/>
      <c r="H109" s="185">
        <v>86</v>
      </c>
      <c r="I109" s="185">
        <v>87</v>
      </c>
      <c r="J109" s="185">
        <v>88</v>
      </c>
      <c r="K109" s="185">
        <v>88</v>
      </c>
    </row>
    <row r="110" spans="2:11" ht="14.4" customHeight="1" x14ac:dyDescent="0.3">
      <c r="B110" s="16" t="s">
        <v>250</v>
      </c>
      <c r="C110" s="44"/>
      <c r="D110" s="89"/>
      <c r="E110" s="118"/>
      <c r="F110" s="143" t="s">
        <v>162</v>
      </c>
      <c r="G110" s="202"/>
      <c r="H110" s="185">
        <v>86</v>
      </c>
      <c r="I110" s="185">
        <v>87</v>
      </c>
      <c r="J110" s="185">
        <v>88</v>
      </c>
      <c r="K110" s="185">
        <v>88</v>
      </c>
    </row>
    <row r="111" spans="2:11" ht="14.4" customHeight="1" x14ac:dyDescent="0.3">
      <c r="B111" s="16" t="s">
        <v>255</v>
      </c>
      <c r="C111" s="44"/>
      <c r="D111" s="89"/>
      <c r="E111" s="118"/>
      <c r="F111" s="143" t="s">
        <v>162</v>
      </c>
      <c r="G111" s="202"/>
      <c r="H111" s="185">
        <v>86</v>
      </c>
      <c r="I111" s="185">
        <v>87</v>
      </c>
      <c r="J111" s="185">
        <v>88</v>
      </c>
      <c r="K111" s="185">
        <v>88</v>
      </c>
    </row>
    <row r="112" spans="2:11" ht="14.4" customHeight="1" x14ac:dyDescent="0.3">
      <c r="B112" s="16" t="s">
        <v>256</v>
      </c>
      <c r="C112" s="44"/>
      <c r="D112" s="89"/>
      <c r="E112" s="118"/>
      <c r="F112" s="143" t="s">
        <v>162</v>
      </c>
      <c r="G112" s="202"/>
      <c r="H112" s="185">
        <v>86</v>
      </c>
      <c r="I112" s="185">
        <v>87</v>
      </c>
      <c r="J112" s="185">
        <v>88</v>
      </c>
      <c r="K112" s="185">
        <v>88</v>
      </c>
    </row>
    <row r="113" spans="2:11" ht="14.4" customHeight="1" x14ac:dyDescent="0.3">
      <c r="B113" s="16" t="s">
        <v>257</v>
      </c>
      <c r="C113" s="44"/>
      <c r="D113" s="89"/>
      <c r="E113" s="118"/>
      <c r="F113" s="143" t="s">
        <v>162</v>
      </c>
      <c r="G113" s="202"/>
      <c r="H113" s="185">
        <v>86</v>
      </c>
      <c r="I113" s="185">
        <v>87</v>
      </c>
      <c r="J113" s="185">
        <v>88</v>
      </c>
      <c r="K113" s="185">
        <v>88</v>
      </c>
    </row>
    <row r="114" spans="2:11" ht="14.4" customHeight="1" x14ac:dyDescent="0.3">
      <c r="B114" s="16" t="s">
        <v>258</v>
      </c>
      <c r="C114" s="44"/>
      <c r="D114" s="89"/>
      <c r="E114" s="118"/>
      <c r="F114" s="143" t="s">
        <v>162</v>
      </c>
      <c r="G114" s="202"/>
      <c r="H114" s="185">
        <v>86</v>
      </c>
      <c r="I114" s="185">
        <v>87</v>
      </c>
      <c r="J114" s="185">
        <v>88</v>
      </c>
      <c r="K114" s="185">
        <v>88</v>
      </c>
    </row>
    <row r="115" spans="2:11" ht="14.4" customHeight="1" x14ac:dyDescent="0.3">
      <c r="B115" s="16" t="s">
        <v>259</v>
      </c>
      <c r="C115" s="44"/>
      <c r="D115" s="89"/>
      <c r="E115" s="118"/>
      <c r="F115" s="143" t="s">
        <v>162</v>
      </c>
      <c r="G115" s="202"/>
      <c r="H115" s="185">
        <v>86</v>
      </c>
      <c r="I115" s="185">
        <v>87</v>
      </c>
      <c r="J115" s="185">
        <v>88</v>
      </c>
      <c r="K115" s="185">
        <v>88</v>
      </c>
    </row>
    <row r="116" spans="2:11" ht="14.4" customHeight="1" x14ac:dyDescent="0.3">
      <c r="B116" s="16" t="s">
        <v>164</v>
      </c>
      <c r="C116" s="44"/>
      <c r="D116" s="89"/>
      <c r="E116" s="118"/>
      <c r="F116" s="143" t="s">
        <v>162</v>
      </c>
      <c r="G116" s="202"/>
      <c r="H116" s="185">
        <v>86</v>
      </c>
      <c r="I116" s="185">
        <v>87</v>
      </c>
      <c r="J116" s="185">
        <v>88</v>
      </c>
      <c r="K116" s="185">
        <v>88</v>
      </c>
    </row>
    <row r="117" spans="2:11" ht="14.4" customHeight="1" x14ac:dyDescent="0.3">
      <c r="B117" s="16" t="s">
        <v>260</v>
      </c>
      <c r="C117" s="44"/>
      <c r="D117" s="89"/>
      <c r="E117" s="118"/>
      <c r="F117" s="143" t="s">
        <v>162</v>
      </c>
      <c r="G117" s="202"/>
      <c r="H117" s="185">
        <v>86</v>
      </c>
      <c r="I117" s="185">
        <v>87</v>
      </c>
      <c r="J117" s="185">
        <v>88</v>
      </c>
      <c r="K117" s="185">
        <v>88</v>
      </c>
    </row>
    <row r="118" spans="2:11" ht="14.4" customHeight="1" x14ac:dyDescent="0.3">
      <c r="B118" s="16" t="s">
        <v>261</v>
      </c>
      <c r="C118" s="44"/>
      <c r="D118" s="89"/>
      <c r="E118" s="118"/>
      <c r="F118" s="143" t="s">
        <v>162</v>
      </c>
      <c r="G118" s="202"/>
      <c r="H118" s="185">
        <v>86</v>
      </c>
      <c r="I118" s="185">
        <v>87</v>
      </c>
      <c r="J118" s="185">
        <v>88</v>
      </c>
      <c r="K118" s="185">
        <v>88</v>
      </c>
    </row>
    <row r="119" spans="2:11" ht="14.4" customHeight="1" x14ac:dyDescent="0.3">
      <c r="B119" s="16" t="s">
        <v>262</v>
      </c>
      <c r="C119" s="44"/>
      <c r="D119" s="89"/>
      <c r="E119" s="118"/>
      <c r="F119" s="143" t="s">
        <v>162</v>
      </c>
      <c r="G119" s="202"/>
      <c r="H119" s="185">
        <v>86</v>
      </c>
      <c r="I119" s="185">
        <v>87</v>
      </c>
      <c r="J119" s="185">
        <v>88</v>
      </c>
      <c r="K119" s="185">
        <v>88</v>
      </c>
    </row>
    <row r="120" spans="2:11" ht="14.4" customHeight="1" x14ac:dyDescent="0.3">
      <c r="B120" s="16" t="s">
        <v>263</v>
      </c>
      <c r="C120" s="44"/>
      <c r="D120" s="89"/>
      <c r="E120" s="118"/>
      <c r="F120" s="143" t="s">
        <v>162</v>
      </c>
      <c r="G120" s="202"/>
      <c r="H120" s="185">
        <v>86</v>
      </c>
      <c r="I120" s="185">
        <v>87</v>
      </c>
      <c r="J120" s="185">
        <v>88</v>
      </c>
      <c r="K120" s="185">
        <v>88</v>
      </c>
    </row>
    <row r="121" spans="2:11" ht="14.4" customHeight="1" x14ac:dyDescent="0.3">
      <c r="B121" s="16" t="s">
        <v>264</v>
      </c>
      <c r="C121" s="44"/>
      <c r="D121" s="89"/>
      <c r="E121" s="118"/>
      <c r="F121" s="143" t="s">
        <v>162</v>
      </c>
      <c r="G121" s="202"/>
      <c r="H121" s="185">
        <v>86</v>
      </c>
      <c r="I121" s="185">
        <v>87</v>
      </c>
      <c r="J121" s="185">
        <v>88</v>
      </c>
      <c r="K121" s="185">
        <v>88</v>
      </c>
    </row>
    <row r="122" spans="2:11" ht="14.4" customHeight="1" x14ac:dyDescent="0.3">
      <c r="B122" s="16" t="s">
        <v>267</v>
      </c>
      <c r="C122" s="44"/>
      <c r="D122" s="89"/>
      <c r="E122" s="118"/>
      <c r="F122" s="143" t="s">
        <v>162</v>
      </c>
      <c r="G122" s="202"/>
      <c r="H122" s="185">
        <v>86</v>
      </c>
      <c r="I122" s="185">
        <v>87</v>
      </c>
      <c r="J122" s="185">
        <v>88</v>
      </c>
      <c r="K122" s="185">
        <v>88</v>
      </c>
    </row>
    <row r="123" spans="2:11" ht="14.4" customHeight="1" x14ac:dyDescent="0.3">
      <c r="B123" s="16" t="s">
        <v>268</v>
      </c>
      <c r="C123" s="44"/>
      <c r="D123" s="89"/>
      <c r="E123" s="118"/>
      <c r="F123" s="143" t="s">
        <v>162</v>
      </c>
      <c r="G123" s="202"/>
      <c r="H123" s="185">
        <v>86</v>
      </c>
      <c r="I123" s="185">
        <v>87</v>
      </c>
      <c r="J123" s="185">
        <v>88</v>
      </c>
      <c r="K123" s="185">
        <v>88</v>
      </c>
    </row>
    <row r="124" spans="2:11" ht="14.4" customHeight="1" x14ac:dyDescent="0.3">
      <c r="B124" s="16" t="s">
        <v>269</v>
      </c>
      <c r="C124" s="44"/>
      <c r="D124" s="89"/>
      <c r="E124" s="118"/>
      <c r="F124" s="143" t="s">
        <v>162</v>
      </c>
      <c r="G124" s="202"/>
      <c r="H124" s="185">
        <v>86</v>
      </c>
      <c r="I124" s="185">
        <v>87</v>
      </c>
      <c r="J124" s="185">
        <v>88</v>
      </c>
      <c r="K124" s="185">
        <v>88</v>
      </c>
    </row>
    <row r="125" spans="2:11" ht="14.4" customHeight="1" x14ac:dyDescent="0.3">
      <c r="B125" s="16" t="s">
        <v>270</v>
      </c>
      <c r="C125" s="44"/>
      <c r="D125" s="89"/>
      <c r="E125" s="118"/>
      <c r="F125" s="143" t="s">
        <v>162</v>
      </c>
      <c r="G125" s="202"/>
      <c r="H125" s="185">
        <v>86</v>
      </c>
      <c r="I125" s="185">
        <v>87</v>
      </c>
      <c r="J125" s="185">
        <v>88</v>
      </c>
      <c r="K125" s="185">
        <v>88</v>
      </c>
    </row>
    <row r="126" spans="2:11" ht="14.4" customHeight="1" x14ac:dyDescent="0.3">
      <c r="B126" s="16" t="s">
        <v>271</v>
      </c>
      <c r="C126" s="44"/>
      <c r="D126" s="89"/>
      <c r="E126" s="118"/>
      <c r="F126" s="143" t="s">
        <v>162</v>
      </c>
      <c r="G126" s="202"/>
      <c r="H126" s="185">
        <v>86</v>
      </c>
      <c r="I126" s="185">
        <v>87</v>
      </c>
      <c r="J126" s="185">
        <v>88</v>
      </c>
      <c r="K126" s="185">
        <v>88</v>
      </c>
    </row>
    <row r="127" spans="2:11" ht="14.4" customHeight="1" x14ac:dyDescent="0.3">
      <c r="B127" s="158" t="s">
        <v>165</v>
      </c>
      <c r="C127" s="44"/>
      <c r="D127" s="89"/>
      <c r="E127" s="118"/>
      <c r="F127" s="159" t="s">
        <v>162</v>
      </c>
      <c r="G127" s="202"/>
      <c r="H127" s="185">
        <v>86</v>
      </c>
      <c r="I127" s="185">
        <v>87</v>
      </c>
      <c r="J127" s="185">
        <v>88</v>
      </c>
      <c r="K127" s="185">
        <v>88</v>
      </c>
    </row>
    <row r="128" spans="2:11" ht="14.4" customHeight="1" x14ac:dyDescent="0.3">
      <c r="B128" s="158" t="s">
        <v>166</v>
      </c>
      <c r="C128" s="44"/>
      <c r="D128" s="89"/>
      <c r="E128" s="118"/>
      <c r="F128" s="159" t="s">
        <v>162</v>
      </c>
      <c r="G128" s="202"/>
      <c r="H128" s="185">
        <v>86</v>
      </c>
      <c r="I128" s="185">
        <v>87</v>
      </c>
      <c r="J128" s="185">
        <v>88</v>
      </c>
      <c r="K128" s="185">
        <v>88</v>
      </c>
    </row>
    <row r="129" spans="2:11" ht="14.4" customHeight="1" x14ac:dyDescent="0.3">
      <c r="B129" s="158" t="s">
        <v>167</v>
      </c>
      <c r="C129" s="44"/>
      <c r="D129" s="89"/>
      <c r="E129" s="118"/>
      <c r="F129" s="159" t="s">
        <v>162</v>
      </c>
      <c r="G129" s="202"/>
      <c r="H129" s="185">
        <v>86</v>
      </c>
      <c r="I129" s="185">
        <v>87</v>
      </c>
      <c r="J129" s="185">
        <v>88</v>
      </c>
      <c r="K129" s="185">
        <v>88</v>
      </c>
    </row>
    <row r="130" spans="2:11" ht="14.4" customHeight="1" x14ac:dyDescent="0.3">
      <c r="B130" s="158" t="s">
        <v>168</v>
      </c>
      <c r="C130" s="44"/>
      <c r="D130" s="89"/>
      <c r="E130" s="118"/>
      <c r="F130" s="159" t="s">
        <v>162</v>
      </c>
      <c r="G130" s="202"/>
      <c r="H130" s="185">
        <v>86</v>
      </c>
      <c r="I130" s="185">
        <v>87</v>
      </c>
      <c r="J130" s="185">
        <v>88</v>
      </c>
      <c r="K130" s="185">
        <v>88</v>
      </c>
    </row>
    <row r="131" spans="2:11" ht="14.4" customHeight="1" x14ac:dyDescent="0.3">
      <c r="B131" s="16" t="s">
        <v>251</v>
      </c>
      <c r="C131" s="44"/>
      <c r="D131" s="89"/>
      <c r="E131" s="118"/>
      <c r="F131" s="44" t="s">
        <v>162</v>
      </c>
      <c r="G131" s="202"/>
      <c r="H131" s="185">
        <v>90</v>
      </c>
      <c r="I131" s="185">
        <v>90</v>
      </c>
      <c r="J131" s="185">
        <v>90</v>
      </c>
      <c r="K131" s="185">
        <v>90</v>
      </c>
    </row>
    <row r="132" spans="2:11" ht="14.4" customHeight="1" x14ac:dyDescent="0.3">
      <c r="B132" s="16" t="s">
        <v>468</v>
      </c>
      <c r="C132" s="44"/>
      <c r="D132" s="89"/>
      <c r="E132" s="118"/>
      <c r="F132" s="44" t="s">
        <v>162</v>
      </c>
      <c r="G132" s="202"/>
      <c r="H132" s="185">
        <v>90</v>
      </c>
      <c r="I132" s="185">
        <v>90</v>
      </c>
      <c r="J132" s="185">
        <v>90</v>
      </c>
      <c r="K132" s="185">
        <v>90</v>
      </c>
    </row>
    <row r="133" spans="2:11" ht="14.4" customHeight="1" x14ac:dyDescent="0.3">
      <c r="B133" s="16" t="s">
        <v>469</v>
      </c>
      <c r="C133" s="44"/>
      <c r="D133" s="89"/>
      <c r="E133" s="118"/>
      <c r="F133" s="44" t="s">
        <v>162</v>
      </c>
      <c r="G133" s="202"/>
      <c r="H133" s="185">
        <v>90</v>
      </c>
      <c r="I133" s="185">
        <v>90</v>
      </c>
      <c r="J133" s="185">
        <v>90</v>
      </c>
      <c r="K133" s="185">
        <v>90</v>
      </c>
    </row>
    <row r="134" spans="2:11" ht="14.4" customHeight="1" x14ac:dyDescent="0.3">
      <c r="B134" s="36" t="s">
        <v>332</v>
      </c>
      <c r="C134" s="44"/>
      <c r="D134" s="89"/>
      <c r="E134" s="118"/>
      <c r="F134" s="160" t="s">
        <v>162</v>
      </c>
      <c r="G134" s="202"/>
      <c r="H134" s="185">
        <v>60</v>
      </c>
      <c r="I134" s="185">
        <v>90</v>
      </c>
      <c r="J134" s="185">
        <v>90</v>
      </c>
      <c r="K134" s="185">
        <v>90</v>
      </c>
    </row>
    <row r="135" spans="2:11" ht="14.4" customHeight="1" x14ac:dyDescent="0.3">
      <c r="B135" s="36" t="s">
        <v>333</v>
      </c>
      <c r="C135" s="44"/>
      <c r="D135" s="89"/>
      <c r="E135" s="118"/>
      <c r="F135" s="160" t="s">
        <v>162</v>
      </c>
      <c r="G135" s="202"/>
      <c r="H135" s="185">
        <v>30</v>
      </c>
      <c r="I135" s="185">
        <v>90</v>
      </c>
      <c r="J135" s="185">
        <v>90</v>
      </c>
      <c r="K135" s="185">
        <v>90</v>
      </c>
    </row>
    <row r="136" spans="2:11" ht="14.4" customHeight="1" x14ac:dyDescent="0.3">
      <c r="B136" s="36" t="s">
        <v>334</v>
      </c>
      <c r="C136" s="44"/>
      <c r="D136" s="89"/>
      <c r="E136" s="118"/>
      <c r="F136" s="160" t="s">
        <v>162</v>
      </c>
      <c r="G136" s="202"/>
      <c r="H136" s="185">
        <v>0</v>
      </c>
      <c r="I136" s="185">
        <v>60</v>
      </c>
      <c r="J136" s="185">
        <v>90</v>
      </c>
      <c r="K136" s="185">
        <v>90</v>
      </c>
    </row>
    <row r="137" spans="2:11" ht="14.4" customHeight="1" x14ac:dyDescent="0.3">
      <c r="B137" s="36" t="s">
        <v>335</v>
      </c>
      <c r="C137" s="44"/>
      <c r="D137" s="89"/>
      <c r="E137" s="118"/>
      <c r="F137" s="160" t="s">
        <v>162</v>
      </c>
      <c r="G137" s="202"/>
      <c r="H137" s="185">
        <v>0</v>
      </c>
      <c r="I137" s="185">
        <v>45</v>
      </c>
      <c r="J137" s="185">
        <v>90</v>
      </c>
      <c r="K137" s="185">
        <v>90</v>
      </c>
    </row>
    <row r="138" spans="2:11" ht="14.4" customHeight="1" x14ac:dyDescent="0.3">
      <c r="B138" s="36" t="s">
        <v>336</v>
      </c>
      <c r="C138" s="44"/>
      <c r="D138" s="89"/>
      <c r="E138" s="118"/>
      <c r="F138" s="160" t="s">
        <v>162</v>
      </c>
      <c r="G138" s="202"/>
      <c r="H138" s="185">
        <v>0</v>
      </c>
      <c r="I138" s="185">
        <v>30</v>
      </c>
      <c r="J138" s="185">
        <v>90</v>
      </c>
      <c r="K138" s="185">
        <v>90</v>
      </c>
    </row>
    <row r="139" spans="2:11" ht="14.4" customHeight="1" x14ac:dyDescent="0.3">
      <c r="B139" s="16" t="s">
        <v>290</v>
      </c>
      <c r="C139" s="44"/>
      <c r="D139" s="89"/>
      <c r="E139" s="118"/>
      <c r="F139" s="143" t="s">
        <v>169</v>
      </c>
      <c r="G139" s="202"/>
      <c r="H139" s="185">
        <v>86</v>
      </c>
      <c r="I139" s="185">
        <v>87</v>
      </c>
      <c r="J139" s="185">
        <v>88</v>
      </c>
      <c r="K139" s="185">
        <v>88</v>
      </c>
    </row>
    <row r="140" spans="2:11" ht="14.4" customHeight="1" x14ac:dyDescent="0.3">
      <c r="B140" s="16" t="s">
        <v>170</v>
      </c>
      <c r="C140" s="44"/>
      <c r="D140" s="89"/>
      <c r="E140" s="118"/>
      <c r="F140" s="143" t="s">
        <v>169</v>
      </c>
      <c r="G140" s="202"/>
      <c r="H140" s="185">
        <v>86</v>
      </c>
      <c r="I140" s="185">
        <v>87</v>
      </c>
      <c r="J140" s="185">
        <v>88</v>
      </c>
      <c r="K140" s="185">
        <v>88</v>
      </c>
    </row>
    <row r="141" spans="2:11" ht="14.4" customHeight="1" x14ac:dyDescent="0.3">
      <c r="B141" s="16" t="s">
        <v>171</v>
      </c>
      <c r="C141" s="44"/>
      <c r="D141" s="89"/>
      <c r="E141" s="118"/>
      <c r="F141" s="143" t="s">
        <v>169</v>
      </c>
      <c r="G141" s="202"/>
      <c r="H141" s="185">
        <v>86</v>
      </c>
      <c r="I141" s="185">
        <v>87</v>
      </c>
      <c r="J141" s="185">
        <v>88</v>
      </c>
      <c r="K141" s="185">
        <v>88</v>
      </c>
    </row>
    <row r="142" spans="2:11" ht="14.4" customHeight="1" x14ac:dyDescent="0.3">
      <c r="B142" s="16" t="s">
        <v>172</v>
      </c>
      <c r="C142" s="44"/>
      <c r="D142" s="89"/>
      <c r="E142" s="118"/>
      <c r="F142" s="143" t="s">
        <v>169</v>
      </c>
      <c r="G142" s="202"/>
      <c r="H142" s="185">
        <v>86</v>
      </c>
      <c r="I142" s="185">
        <v>87</v>
      </c>
      <c r="J142" s="185">
        <v>88</v>
      </c>
      <c r="K142" s="185">
        <v>88</v>
      </c>
    </row>
    <row r="143" spans="2:11" ht="14.4" customHeight="1" x14ac:dyDescent="0.3">
      <c r="B143" s="16" t="s">
        <v>173</v>
      </c>
      <c r="C143" s="44"/>
      <c r="D143" s="89"/>
      <c r="E143" s="118"/>
      <c r="F143" s="143" t="s">
        <v>169</v>
      </c>
      <c r="G143" s="202"/>
      <c r="H143" s="185">
        <v>86</v>
      </c>
      <c r="I143" s="185">
        <v>87</v>
      </c>
      <c r="J143" s="185">
        <v>88</v>
      </c>
      <c r="K143" s="185">
        <v>88</v>
      </c>
    </row>
    <row r="144" spans="2:11" ht="14.4" customHeight="1" x14ac:dyDescent="0.3">
      <c r="B144" s="16" t="s">
        <v>174</v>
      </c>
      <c r="C144" s="44"/>
      <c r="D144" s="89"/>
      <c r="E144" s="118"/>
      <c r="F144" s="143" t="s">
        <v>169</v>
      </c>
      <c r="G144" s="202"/>
      <c r="H144" s="185">
        <v>86</v>
      </c>
      <c r="I144" s="185">
        <v>87</v>
      </c>
      <c r="J144" s="185">
        <v>88</v>
      </c>
      <c r="K144" s="185">
        <v>88</v>
      </c>
    </row>
    <row r="145" spans="2:11" ht="14.4" customHeight="1" x14ac:dyDescent="0.3">
      <c r="B145" s="16" t="s">
        <v>307</v>
      </c>
      <c r="C145" s="44"/>
      <c r="D145" s="89"/>
      <c r="E145" s="118"/>
      <c r="F145" s="143" t="s">
        <v>169</v>
      </c>
      <c r="G145" s="202"/>
      <c r="H145" s="185">
        <v>86</v>
      </c>
      <c r="I145" s="185">
        <v>87</v>
      </c>
      <c r="J145" s="185">
        <v>88</v>
      </c>
      <c r="K145" s="185">
        <v>88</v>
      </c>
    </row>
    <row r="146" spans="2:11" ht="14.4" customHeight="1" x14ac:dyDescent="0.3">
      <c r="B146" s="16" t="s">
        <v>310</v>
      </c>
      <c r="C146" s="44"/>
      <c r="D146" s="89"/>
      <c r="E146" s="118"/>
      <c r="F146" s="143" t="s">
        <v>169</v>
      </c>
      <c r="G146" s="202"/>
      <c r="H146" s="185">
        <v>86</v>
      </c>
      <c r="I146" s="185">
        <v>87</v>
      </c>
      <c r="J146" s="185">
        <v>88</v>
      </c>
      <c r="K146" s="185">
        <v>88</v>
      </c>
    </row>
    <row r="147" spans="2:11" ht="14.4" customHeight="1" x14ac:dyDescent="0.3">
      <c r="B147" s="16" t="s">
        <v>311</v>
      </c>
      <c r="C147" s="44"/>
      <c r="D147" s="89"/>
      <c r="E147" s="118"/>
      <c r="F147" s="143" t="s">
        <v>169</v>
      </c>
      <c r="G147" s="202"/>
      <c r="H147" s="185">
        <v>86</v>
      </c>
      <c r="I147" s="185">
        <v>87</v>
      </c>
      <c r="J147" s="185">
        <v>88</v>
      </c>
      <c r="K147" s="185">
        <v>88</v>
      </c>
    </row>
    <row r="148" spans="2:11" ht="14.4" customHeight="1" x14ac:dyDescent="0.3">
      <c r="B148" s="16" t="s">
        <v>314</v>
      </c>
      <c r="C148" s="44"/>
      <c r="D148" s="89"/>
      <c r="E148" s="118"/>
      <c r="F148" s="143" t="s">
        <v>169</v>
      </c>
      <c r="G148" s="202"/>
      <c r="H148" s="185">
        <v>86</v>
      </c>
      <c r="I148" s="185">
        <v>87</v>
      </c>
      <c r="J148" s="185">
        <v>88</v>
      </c>
      <c r="K148" s="185">
        <v>88</v>
      </c>
    </row>
    <row r="149" spans="2:11" ht="14.4" customHeight="1" x14ac:dyDescent="0.3">
      <c r="B149" s="16" t="s">
        <v>315</v>
      </c>
      <c r="C149" s="44"/>
      <c r="D149" s="89"/>
      <c r="E149" s="118"/>
      <c r="F149" s="143" t="s">
        <v>169</v>
      </c>
      <c r="G149" s="202"/>
      <c r="H149" s="185">
        <v>86</v>
      </c>
      <c r="I149" s="185">
        <v>87</v>
      </c>
      <c r="J149" s="185">
        <v>88</v>
      </c>
      <c r="K149" s="185">
        <v>88</v>
      </c>
    </row>
    <row r="150" spans="2:11" ht="14.4" customHeight="1" x14ac:dyDescent="0.3">
      <c r="B150" s="16" t="s">
        <v>316</v>
      </c>
      <c r="C150" s="44"/>
      <c r="D150" s="89"/>
      <c r="E150" s="118"/>
      <c r="F150" s="143" t="s">
        <v>169</v>
      </c>
      <c r="G150" s="202"/>
      <c r="H150" s="185">
        <v>86</v>
      </c>
      <c r="I150" s="185">
        <v>87</v>
      </c>
      <c r="J150" s="185">
        <v>88</v>
      </c>
      <c r="K150" s="185">
        <v>88</v>
      </c>
    </row>
    <row r="151" spans="2:11" ht="14.4" customHeight="1" x14ac:dyDescent="0.3">
      <c r="B151" s="16" t="s">
        <v>318</v>
      </c>
      <c r="C151" s="44"/>
      <c r="D151" s="89"/>
      <c r="E151" s="118"/>
      <c r="F151" s="143" t="s">
        <v>169</v>
      </c>
      <c r="G151" s="202"/>
      <c r="H151" s="185">
        <v>86</v>
      </c>
      <c r="I151" s="185">
        <v>87</v>
      </c>
      <c r="J151" s="185">
        <v>88</v>
      </c>
      <c r="K151" s="185">
        <v>88</v>
      </c>
    </row>
    <row r="152" spans="2:11" ht="14.4" customHeight="1" x14ac:dyDescent="0.3">
      <c r="B152" s="16" t="s">
        <v>175</v>
      </c>
      <c r="C152" s="44"/>
      <c r="D152" s="89"/>
      <c r="E152" s="118"/>
      <c r="F152" s="143" t="s">
        <v>169</v>
      </c>
      <c r="G152" s="202"/>
      <c r="H152" s="185">
        <v>86</v>
      </c>
      <c r="I152" s="185">
        <v>87</v>
      </c>
      <c r="J152" s="185">
        <v>88</v>
      </c>
      <c r="K152" s="185">
        <v>88</v>
      </c>
    </row>
    <row r="153" spans="2:11" ht="14.4" customHeight="1" x14ac:dyDescent="0.3">
      <c r="B153" s="16" t="s">
        <v>317</v>
      </c>
      <c r="C153" s="44"/>
      <c r="D153" s="89"/>
      <c r="E153" s="118"/>
      <c r="F153" s="143" t="s">
        <v>169</v>
      </c>
      <c r="G153" s="202"/>
      <c r="H153" s="185">
        <v>86</v>
      </c>
      <c r="I153" s="185">
        <v>87</v>
      </c>
      <c r="J153" s="185">
        <v>88</v>
      </c>
      <c r="K153" s="185">
        <v>88</v>
      </c>
    </row>
    <row r="154" spans="2:11" ht="14.4" customHeight="1" x14ac:dyDescent="0.3">
      <c r="B154" s="16" t="s">
        <v>321</v>
      </c>
      <c r="C154" s="44"/>
      <c r="D154" s="89"/>
      <c r="E154" s="118"/>
      <c r="F154" s="143" t="s">
        <v>169</v>
      </c>
      <c r="G154" s="202"/>
      <c r="H154" s="185">
        <v>86</v>
      </c>
      <c r="I154" s="185">
        <v>87</v>
      </c>
      <c r="J154" s="185">
        <v>88</v>
      </c>
      <c r="K154" s="185">
        <v>88</v>
      </c>
    </row>
    <row r="155" spans="2:11" ht="14.4" customHeight="1" x14ac:dyDescent="0.3">
      <c r="B155" s="16" t="s">
        <v>322</v>
      </c>
      <c r="C155" s="44"/>
      <c r="D155" s="89"/>
      <c r="E155" s="118"/>
      <c r="F155" s="143" t="s">
        <v>169</v>
      </c>
      <c r="G155" s="202"/>
      <c r="H155" s="185">
        <v>86</v>
      </c>
      <c r="I155" s="185">
        <v>87</v>
      </c>
      <c r="J155" s="185">
        <v>88</v>
      </c>
      <c r="K155" s="185">
        <v>88</v>
      </c>
    </row>
    <row r="156" spans="2:11" ht="14.4" customHeight="1" x14ac:dyDescent="0.3">
      <c r="B156" s="16" t="s">
        <v>323</v>
      </c>
      <c r="C156" s="44"/>
      <c r="D156" s="89"/>
      <c r="E156" s="118"/>
      <c r="F156" s="143" t="s">
        <v>169</v>
      </c>
      <c r="G156" s="202"/>
      <c r="H156" s="185">
        <v>86</v>
      </c>
      <c r="I156" s="185">
        <v>87</v>
      </c>
      <c r="J156" s="185">
        <v>88</v>
      </c>
      <c r="K156" s="185">
        <v>88</v>
      </c>
    </row>
    <row r="157" spans="2:11" ht="14.4" customHeight="1" x14ac:dyDescent="0.3">
      <c r="B157" s="158" t="s">
        <v>176</v>
      </c>
      <c r="C157" s="44"/>
      <c r="D157" s="89"/>
      <c r="E157" s="118"/>
      <c r="F157" s="159" t="s">
        <v>169</v>
      </c>
      <c r="G157" s="202"/>
      <c r="H157" s="185">
        <v>86</v>
      </c>
      <c r="I157" s="185">
        <v>87</v>
      </c>
      <c r="J157" s="185">
        <v>88</v>
      </c>
      <c r="K157" s="185">
        <v>88</v>
      </c>
    </row>
    <row r="158" spans="2:11" ht="14.4" customHeight="1" x14ac:dyDescent="0.3">
      <c r="B158" s="158" t="s">
        <v>177</v>
      </c>
      <c r="C158" s="44"/>
      <c r="D158" s="89"/>
      <c r="E158" s="118"/>
      <c r="F158" s="159" t="s">
        <v>169</v>
      </c>
      <c r="G158" s="202"/>
      <c r="H158" s="185">
        <v>86</v>
      </c>
      <c r="I158" s="185">
        <v>87</v>
      </c>
      <c r="J158" s="185">
        <v>88</v>
      </c>
      <c r="K158" s="185">
        <v>88</v>
      </c>
    </row>
    <row r="159" spans="2:11" ht="14.4" customHeight="1" x14ac:dyDescent="0.3">
      <c r="B159" s="158" t="s">
        <v>328</v>
      </c>
      <c r="C159" s="44"/>
      <c r="D159" s="89"/>
      <c r="E159" s="118"/>
      <c r="F159" s="159" t="s">
        <v>169</v>
      </c>
      <c r="G159" s="202"/>
      <c r="H159" s="185">
        <v>86</v>
      </c>
      <c r="I159" s="185">
        <v>87</v>
      </c>
      <c r="J159" s="185">
        <v>88</v>
      </c>
      <c r="K159" s="185">
        <v>88</v>
      </c>
    </row>
    <row r="160" spans="2:11" ht="14.4" customHeight="1" x14ac:dyDescent="0.3">
      <c r="B160" s="141" t="s">
        <v>277</v>
      </c>
      <c r="C160" s="79"/>
      <c r="D160" s="89"/>
      <c r="E160" s="118"/>
      <c r="F160" s="78" t="s">
        <v>169</v>
      </c>
      <c r="G160" s="202"/>
      <c r="H160" s="185">
        <v>86</v>
      </c>
      <c r="I160" s="185">
        <v>87</v>
      </c>
      <c r="J160" s="185">
        <v>88</v>
      </c>
      <c r="K160" s="185">
        <v>88</v>
      </c>
    </row>
    <row r="161" spans="2:11" ht="14.4" customHeight="1" x14ac:dyDescent="0.3">
      <c r="B161" s="16" t="s">
        <v>293</v>
      </c>
      <c r="C161" s="44"/>
      <c r="D161" s="89"/>
      <c r="E161" s="118"/>
      <c r="F161" s="143" t="s">
        <v>169</v>
      </c>
      <c r="G161" s="202"/>
      <c r="H161" s="185">
        <v>86</v>
      </c>
      <c r="I161" s="185">
        <v>87</v>
      </c>
      <c r="J161" s="185">
        <v>88</v>
      </c>
      <c r="K161" s="185">
        <v>88</v>
      </c>
    </row>
    <row r="162" spans="2:11" ht="14.4" customHeight="1" x14ac:dyDescent="0.3">
      <c r="B162" s="16" t="s">
        <v>289</v>
      </c>
      <c r="C162" s="44"/>
      <c r="D162" s="89"/>
      <c r="E162" s="118"/>
      <c r="F162" s="143" t="s">
        <v>169</v>
      </c>
      <c r="G162" s="202"/>
      <c r="H162" s="185">
        <v>86</v>
      </c>
      <c r="I162" s="185">
        <v>87</v>
      </c>
      <c r="J162" s="185">
        <v>88</v>
      </c>
      <c r="K162" s="185">
        <v>88</v>
      </c>
    </row>
    <row r="163" spans="2:11" ht="14.4" customHeight="1" x14ac:dyDescent="0.3">
      <c r="B163" s="16" t="s">
        <v>291</v>
      </c>
      <c r="C163" s="44"/>
      <c r="D163" s="89"/>
      <c r="E163" s="118"/>
      <c r="F163" s="143" t="s">
        <v>169</v>
      </c>
      <c r="G163" s="202"/>
      <c r="H163" s="185">
        <v>86</v>
      </c>
      <c r="I163" s="185">
        <v>87</v>
      </c>
      <c r="J163" s="185">
        <v>88</v>
      </c>
      <c r="K163" s="185">
        <v>88</v>
      </c>
    </row>
    <row r="164" spans="2:11" ht="14.4" customHeight="1" x14ac:dyDescent="0.3">
      <c r="B164" s="16" t="s">
        <v>312</v>
      </c>
      <c r="C164" s="44"/>
      <c r="D164" s="89"/>
      <c r="E164" s="118"/>
      <c r="F164" s="143" t="s">
        <v>169</v>
      </c>
      <c r="G164" s="202"/>
      <c r="H164" s="185">
        <v>86</v>
      </c>
      <c r="I164" s="185">
        <v>87</v>
      </c>
      <c r="J164" s="185">
        <v>88</v>
      </c>
      <c r="K164" s="185">
        <v>88</v>
      </c>
    </row>
    <row r="165" spans="2:11" ht="14.4" customHeight="1" x14ac:dyDescent="0.3">
      <c r="B165" s="16" t="s">
        <v>305</v>
      </c>
      <c r="C165" s="44"/>
      <c r="D165" s="89"/>
      <c r="E165" s="118"/>
      <c r="F165" s="143" t="s">
        <v>169</v>
      </c>
      <c r="G165" s="202"/>
      <c r="H165" s="185">
        <v>86</v>
      </c>
      <c r="I165" s="185">
        <v>87</v>
      </c>
      <c r="J165" s="185">
        <v>88</v>
      </c>
      <c r="K165" s="185">
        <v>88</v>
      </c>
    </row>
    <row r="166" spans="2:11" ht="14.4" customHeight="1" x14ac:dyDescent="0.3">
      <c r="B166" s="16" t="s">
        <v>286</v>
      </c>
      <c r="C166" s="44"/>
      <c r="D166" s="89"/>
      <c r="E166" s="118"/>
      <c r="F166" s="143" t="s">
        <v>169</v>
      </c>
      <c r="G166" s="202"/>
      <c r="H166" s="185">
        <v>86</v>
      </c>
      <c r="I166" s="185">
        <v>87</v>
      </c>
      <c r="J166" s="185">
        <v>88</v>
      </c>
      <c r="K166" s="185">
        <v>88</v>
      </c>
    </row>
    <row r="167" spans="2:11" ht="14.4" customHeight="1" x14ac:dyDescent="0.3">
      <c r="B167" s="16" t="s">
        <v>272</v>
      </c>
      <c r="C167" s="44"/>
      <c r="D167" s="89"/>
      <c r="E167" s="118"/>
      <c r="F167" s="143" t="s">
        <v>169</v>
      </c>
      <c r="G167" s="202"/>
      <c r="H167" s="185">
        <v>86</v>
      </c>
      <c r="I167" s="185">
        <v>87</v>
      </c>
      <c r="J167" s="185">
        <v>88</v>
      </c>
      <c r="K167" s="185">
        <v>88</v>
      </c>
    </row>
    <row r="168" spans="2:11" ht="14.4" customHeight="1" x14ac:dyDescent="0.3">
      <c r="B168" s="16" t="s">
        <v>288</v>
      </c>
      <c r="C168" s="44"/>
      <c r="D168" s="89"/>
      <c r="E168" s="118"/>
      <c r="F168" s="143" t="s">
        <v>169</v>
      </c>
      <c r="G168" s="202"/>
      <c r="H168" s="185">
        <v>86</v>
      </c>
      <c r="I168" s="185">
        <v>87</v>
      </c>
      <c r="J168" s="185">
        <v>88</v>
      </c>
      <c r="K168" s="185">
        <v>88</v>
      </c>
    </row>
    <row r="169" spans="2:11" ht="14.4" customHeight="1" x14ac:dyDescent="0.3">
      <c r="B169" s="16" t="s">
        <v>284</v>
      </c>
      <c r="C169" s="44"/>
      <c r="D169" s="89"/>
      <c r="E169" s="118"/>
      <c r="F169" s="143" t="s">
        <v>169</v>
      </c>
      <c r="G169" s="202"/>
      <c r="H169" s="185">
        <v>86</v>
      </c>
      <c r="I169" s="185">
        <v>87</v>
      </c>
      <c r="J169" s="185">
        <v>88</v>
      </c>
      <c r="K169" s="185">
        <v>88</v>
      </c>
    </row>
    <row r="170" spans="2:11" ht="14.4" customHeight="1" x14ac:dyDescent="0.3">
      <c r="B170" s="16" t="s">
        <v>280</v>
      </c>
      <c r="C170" s="44"/>
      <c r="D170" s="89"/>
      <c r="E170" s="118"/>
      <c r="F170" s="143" t="s">
        <v>169</v>
      </c>
      <c r="G170" s="202"/>
      <c r="H170" s="185">
        <v>86</v>
      </c>
      <c r="I170" s="185">
        <v>87</v>
      </c>
      <c r="J170" s="185">
        <v>88</v>
      </c>
      <c r="K170" s="185">
        <v>88</v>
      </c>
    </row>
    <row r="171" spans="2:11" ht="14.4" customHeight="1" x14ac:dyDescent="0.3">
      <c r="B171" s="16" t="s">
        <v>306</v>
      </c>
      <c r="C171" s="44"/>
      <c r="D171" s="89"/>
      <c r="E171" s="118"/>
      <c r="F171" s="143" t="s">
        <v>169</v>
      </c>
      <c r="G171" s="202"/>
      <c r="H171" s="185">
        <v>86</v>
      </c>
      <c r="I171" s="185">
        <v>87</v>
      </c>
      <c r="J171" s="185">
        <v>88</v>
      </c>
      <c r="K171" s="185">
        <v>88</v>
      </c>
    </row>
    <row r="172" spans="2:11" ht="14.4" customHeight="1" x14ac:dyDescent="0.3">
      <c r="B172" s="16" t="s">
        <v>275</v>
      </c>
      <c r="C172" s="44"/>
      <c r="D172" s="89"/>
      <c r="E172" s="118"/>
      <c r="F172" s="143" t="s">
        <v>169</v>
      </c>
      <c r="G172" s="202"/>
      <c r="H172" s="185">
        <v>86</v>
      </c>
      <c r="I172" s="185">
        <v>87</v>
      </c>
      <c r="J172" s="185">
        <v>88</v>
      </c>
      <c r="K172" s="185">
        <v>88</v>
      </c>
    </row>
    <row r="173" spans="2:11" ht="14.4" customHeight="1" x14ac:dyDescent="0.3">
      <c r="B173" s="16" t="s">
        <v>285</v>
      </c>
      <c r="C173" s="44"/>
      <c r="D173" s="89"/>
      <c r="E173" s="118"/>
      <c r="F173" s="143" t="s">
        <v>169</v>
      </c>
      <c r="G173" s="202"/>
      <c r="H173" s="185">
        <v>86</v>
      </c>
      <c r="I173" s="185">
        <v>87</v>
      </c>
      <c r="J173" s="185">
        <v>88</v>
      </c>
      <c r="K173" s="185">
        <v>88</v>
      </c>
    </row>
    <row r="174" spans="2:11" ht="14.4" customHeight="1" x14ac:dyDescent="0.3">
      <c r="B174" s="16" t="s">
        <v>287</v>
      </c>
      <c r="C174" s="44"/>
      <c r="D174" s="89"/>
      <c r="E174" s="118"/>
      <c r="F174" s="143" t="s">
        <v>169</v>
      </c>
      <c r="G174" s="202"/>
      <c r="H174" s="185">
        <v>86</v>
      </c>
      <c r="I174" s="185">
        <v>87</v>
      </c>
      <c r="J174" s="185">
        <v>88</v>
      </c>
      <c r="K174" s="185">
        <v>88</v>
      </c>
    </row>
    <row r="175" spans="2:11" ht="14.4" customHeight="1" x14ac:dyDescent="0.3">
      <c r="B175" s="16" t="s">
        <v>282</v>
      </c>
      <c r="C175" s="44"/>
      <c r="D175" s="89"/>
      <c r="E175" s="118"/>
      <c r="F175" s="143" t="s">
        <v>169</v>
      </c>
      <c r="G175" s="202"/>
      <c r="H175" s="185">
        <v>86</v>
      </c>
      <c r="I175" s="185">
        <v>87</v>
      </c>
      <c r="J175" s="185">
        <v>88</v>
      </c>
      <c r="K175" s="185">
        <v>88</v>
      </c>
    </row>
    <row r="176" spans="2:11" ht="14.4" customHeight="1" x14ac:dyDescent="0.3">
      <c r="B176" s="16" t="s">
        <v>294</v>
      </c>
      <c r="C176" s="44"/>
      <c r="D176" s="89"/>
      <c r="E176" s="118"/>
      <c r="F176" s="143" t="s">
        <v>169</v>
      </c>
      <c r="G176" s="202"/>
      <c r="H176" s="185">
        <v>86</v>
      </c>
      <c r="I176" s="185">
        <v>87</v>
      </c>
      <c r="J176" s="185">
        <v>88</v>
      </c>
      <c r="K176" s="185">
        <v>88</v>
      </c>
    </row>
    <row r="177" spans="2:11" ht="14.4" customHeight="1" x14ac:dyDescent="0.3">
      <c r="B177" s="16" t="s">
        <v>319</v>
      </c>
      <c r="C177" s="44"/>
      <c r="D177" s="89"/>
      <c r="E177" s="118"/>
      <c r="F177" s="143" t="s">
        <v>169</v>
      </c>
      <c r="G177" s="202"/>
      <c r="H177" s="185">
        <v>86</v>
      </c>
      <c r="I177" s="185">
        <v>87</v>
      </c>
      <c r="J177" s="185">
        <v>88</v>
      </c>
      <c r="K177" s="185">
        <v>88</v>
      </c>
    </row>
    <row r="178" spans="2:11" ht="14.4" customHeight="1" x14ac:dyDescent="0.3">
      <c r="B178" s="16" t="s">
        <v>296</v>
      </c>
      <c r="C178" s="44"/>
      <c r="D178" s="89"/>
      <c r="E178" s="118"/>
      <c r="F178" s="143" t="s">
        <v>169</v>
      </c>
      <c r="G178" s="202"/>
      <c r="H178" s="185">
        <v>86</v>
      </c>
      <c r="I178" s="185">
        <v>87</v>
      </c>
      <c r="J178" s="185">
        <v>88</v>
      </c>
      <c r="K178" s="185">
        <v>88</v>
      </c>
    </row>
    <row r="179" spans="2:11" ht="14.4" customHeight="1" x14ac:dyDescent="0.3">
      <c r="B179" s="16" t="s">
        <v>301</v>
      </c>
      <c r="C179" s="44"/>
      <c r="D179" s="89"/>
      <c r="E179" s="118"/>
      <c r="F179" s="143" t="s">
        <v>169</v>
      </c>
      <c r="G179" s="202"/>
      <c r="H179" s="185">
        <v>86</v>
      </c>
      <c r="I179" s="185">
        <v>87</v>
      </c>
      <c r="J179" s="185">
        <v>88</v>
      </c>
      <c r="K179" s="185">
        <v>88</v>
      </c>
    </row>
    <row r="180" spans="2:11" ht="14.4" customHeight="1" x14ac:dyDescent="0.3">
      <c r="B180" s="16" t="s">
        <v>299</v>
      </c>
      <c r="C180" s="44"/>
      <c r="D180" s="89"/>
      <c r="E180" s="118"/>
      <c r="F180" s="143" t="s">
        <v>169</v>
      </c>
      <c r="G180" s="202"/>
      <c r="H180" s="185">
        <v>86</v>
      </c>
      <c r="I180" s="185">
        <v>87</v>
      </c>
      <c r="J180" s="185">
        <v>88</v>
      </c>
      <c r="K180" s="185">
        <v>88</v>
      </c>
    </row>
    <row r="181" spans="2:11" ht="14.4" customHeight="1" x14ac:dyDescent="0.3">
      <c r="B181" s="16" t="s">
        <v>300</v>
      </c>
      <c r="C181" s="44"/>
      <c r="D181" s="89"/>
      <c r="E181" s="118"/>
      <c r="F181" s="143" t="s">
        <v>169</v>
      </c>
      <c r="G181" s="202"/>
      <c r="H181" s="185">
        <v>86</v>
      </c>
      <c r="I181" s="185">
        <v>87</v>
      </c>
      <c r="J181" s="185">
        <v>88</v>
      </c>
      <c r="K181" s="185">
        <v>88</v>
      </c>
    </row>
    <row r="182" spans="2:11" ht="14.4" customHeight="1" x14ac:dyDescent="0.3">
      <c r="B182" s="16" t="s">
        <v>297</v>
      </c>
      <c r="C182" s="44"/>
      <c r="D182" s="89"/>
      <c r="E182" s="118"/>
      <c r="F182" s="143" t="s">
        <v>169</v>
      </c>
      <c r="G182" s="202"/>
      <c r="H182" s="185">
        <v>86</v>
      </c>
      <c r="I182" s="185">
        <v>87</v>
      </c>
      <c r="J182" s="185">
        <v>88</v>
      </c>
      <c r="K182" s="185">
        <v>88</v>
      </c>
    </row>
    <row r="183" spans="2:11" ht="14.4" customHeight="1" x14ac:dyDescent="0.3">
      <c r="B183" s="16" t="s">
        <v>304</v>
      </c>
      <c r="C183" s="44"/>
      <c r="D183" s="89"/>
      <c r="E183" s="118"/>
      <c r="F183" s="143" t="s">
        <v>169</v>
      </c>
      <c r="G183" s="202"/>
      <c r="H183" s="185">
        <v>86</v>
      </c>
      <c r="I183" s="185">
        <v>87</v>
      </c>
      <c r="J183" s="185">
        <v>88</v>
      </c>
      <c r="K183" s="185">
        <v>88</v>
      </c>
    </row>
    <row r="184" spans="2:11" ht="14.4" customHeight="1" x14ac:dyDescent="0.3">
      <c r="B184" s="16" t="s">
        <v>303</v>
      </c>
      <c r="C184" s="44"/>
      <c r="D184" s="89"/>
      <c r="E184" s="118"/>
      <c r="F184" s="143" t="s">
        <v>169</v>
      </c>
      <c r="G184" s="202"/>
      <c r="H184" s="185">
        <v>86</v>
      </c>
      <c r="I184" s="185">
        <v>87</v>
      </c>
      <c r="J184" s="185">
        <v>88</v>
      </c>
      <c r="K184" s="185">
        <v>88</v>
      </c>
    </row>
    <row r="185" spans="2:11" ht="14.4" customHeight="1" x14ac:dyDescent="0.3">
      <c r="B185" s="16" t="s">
        <v>302</v>
      </c>
      <c r="C185" s="44"/>
      <c r="D185" s="89"/>
      <c r="E185" s="118"/>
      <c r="F185" s="143" t="s">
        <v>169</v>
      </c>
      <c r="G185" s="202"/>
      <c r="H185" s="185">
        <v>86</v>
      </c>
      <c r="I185" s="185">
        <v>87</v>
      </c>
      <c r="J185" s="185">
        <v>88</v>
      </c>
      <c r="K185" s="185">
        <v>88</v>
      </c>
    </row>
    <row r="186" spans="2:11" ht="14.4" customHeight="1" x14ac:dyDescent="0.3">
      <c r="B186" s="16" t="s">
        <v>281</v>
      </c>
      <c r="C186" s="44"/>
      <c r="D186" s="89"/>
      <c r="E186" s="118"/>
      <c r="F186" s="143" t="s">
        <v>169</v>
      </c>
      <c r="G186" s="202"/>
      <c r="H186" s="185">
        <v>86</v>
      </c>
      <c r="I186" s="185">
        <v>87</v>
      </c>
      <c r="J186" s="185">
        <v>88</v>
      </c>
      <c r="K186" s="185">
        <v>88</v>
      </c>
    </row>
    <row r="187" spans="2:11" ht="14.4" customHeight="1" x14ac:dyDescent="0.3">
      <c r="B187" s="16" t="s">
        <v>278</v>
      </c>
      <c r="C187" s="44"/>
      <c r="D187" s="89"/>
      <c r="E187" s="118"/>
      <c r="F187" s="143" t="s">
        <v>169</v>
      </c>
      <c r="G187" s="202"/>
      <c r="H187" s="185">
        <v>86</v>
      </c>
      <c r="I187" s="185">
        <v>87</v>
      </c>
      <c r="J187" s="185">
        <v>88</v>
      </c>
      <c r="K187" s="185">
        <v>88</v>
      </c>
    </row>
    <row r="188" spans="2:11" ht="14.4" customHeight="1" x14ac:dyDescent="0.3">
      <c r="B188" s="16" t="s">
        <v>274</v>
      </c>
      <c r="C188" s="44"/>
      <c r="D188" s="89"/>
      <c r="E188" s="118"/>
      <c r="F188" s="143" t="s">
        <v>169</v>
      </c>
      <c r="G188" s="202"/>
      <c r="H188" s="185">
        <v>86</v>
      </c>
      <c r="I188" s="185">
        <v>87</v>
      </c>
      <c r="J188" s="185">
        <v>88</v>
      </c>
      <c r="K188" s="185">
        <v>88</v>
      </c>
    </row>
    <row r="189" spans="2:11" ht="14.4" customHeight="1" x14ac:dyDescent="0.3">
      <c r="B189" s="16" t="s">
        <v>179</v>
      </c>
      <c r="C189" s="44"/>
      <c r="D189" s="89"/>
      <c r="E189" s="118"/>
      <c r="F189" s="143" t="s">
        <v>178</v>
      </c>
      <c r="G189" s="202"/>
      <c r="H189" s="185">
        <v>86</v>
      </c>
      <c r="I189" s="185">
        <v>87</v>
      </c>
      <c r="J189" s="185">
        <v>88</v>
      </c>
      <c r="K189" s="185">
        <v>88</v>
      </c>
    </row>
    <row r="190" spans="2:11" ht="14.4" customHeight="1" x14ac:dyDescent="0.3">
      <c r="B190" s="16" t="s">
        <v>180</v>
      </c>
      <c r="C190" s="44"/>
      <c r="D190" s="89"/>
      <c r="E190" s="118"/>
      <c r="F190" s="143" t="s">
        <v>178</v>
      </c>
      <c r="G190" s="202"/>
      <c r="H190" s="185">
        <v>86</v>
      </c>
      <c r="I190" s="185">
        <v>87</v>
      </c>
      <c r="J190" s="185">
        <v>88</v>
      </c>
      <c r="K190" s="185">
        <v>88</v>
      </c>
    </row>
    <row r="191" spans="2:11" ht="14.4" customHeight="1" x14ac:dyDescent="0.3">
      <c r="B191" s="16" t="s">
        <v>181</v>
      </c>
      <c r="C191" s="44"/>
      <c r="D191" s="89"/>
      <c r="E191" s="118"/>
      <c r="F191" s="143" t="s">
        <v>178</v>
      </c>
      <c r="G191" s="202"/>
      <c r="H191" s="185">
        <v>86</v>
      </c>
      <c r="I191" s="185">
        <v>87</v>
      </c>
      <c r="J191" s="185">
        <v>88</v>
      </c>
      <c r="K191" s="185">
        <v>88</v>
      </c>
    </row>
    <row r="192" spans="2:11" ht="14.4" customHeight="1" x14ac:dyDescent="0.3">
      <c r="B192" s="16" t="s">
        <v>182</v>
      </c>
      <c r="C192" s="44"/>
      <c r="D192" s="89"/>
      <c r="E192" s="118"/>
      <c r="F192" s="143" t="s">
        <v>178</v>
      </c>
      <c r="G192" s="202"/>
      <c r="H192" s="185">
        <v>86</v>
      </c>
      <c r="I192" s="185">
        <v>87</v>
      </c>
      <c r="J192" s="185">
        <v>88</v>
      </c>
      <c r="K192" s="185">
        <v>88</v>
      </c>
    </row>
    <row r="193" spans="1:11" ht="14.4" customHeight="1" x14ac:dyDescent="0.3">
      <c r="B193" s="16" t="s">
        <v>183</v>
      </c>
      <c r="C193" s="44"/>
      <c r="D193" s="89"/>
      <c r="E193" s="118"/>
      <c r="F193" s="143" t="s">
        <v>178</v>
      </c>
      <c r="G193" s="202"/>
      <c r="H193" s="185">
        <v>86</v>
      </c>
      <c r="I193" s="185">
        <v>87</v>
      </c>
      <c r="J193" s="185">
        <v>88</v>
      </c>
      <c r="K193" s="185">
        <v>88</v>
      </c>
    </row>
    <row r="194" spans="1:11" ht="14.4" customHeight="1" x14ac:dyDescent="0.3">
      <c r="B194" s="16" t="s">
        <v>184</v>
      </c>
      <c r="C194" s="44"/>
      <c r="D194" s="89"/>
      <c r="E194" s="118"/>
      <c r="F194" s="143" t="s">
        <v>178</v>
      </c>
      <c r="G194" s="202"/>
      <c r="H194" s="185">
        <v>86</v>
      </c>
      <c r="I194" s="185">
        <v>87</v>
      </c>
      <c r="J194" s="185">
        <v>88</v>
      </c>
      <c r="K194" s="185">
        <v>88</v>
      </c>
    </row>
    <row r="195" spans="1:11" ht="14.4" customHeight="1" x14ac:dyDescent="0.3">
      <c r="B195" s="16" t="s">
        <v>185</v>
      </c>
      <c r="C195" s="44"/>
      <c r="D195" s="89"/>
      <c r="E195" s="118"/>
      <c r="F195" s="143" t="s">
        <v>178</v>
      </c>
      <c r="G195" s="202"/>
      <c r="H195" s="185">
        <v>86</v>
      </c>
      <c r="I195" s="185">
        <v>87</v>
      </c>
      <c r="J195" s="185">
        <v>88</v>
      </c>
      <c r="K195" s="185">
        <v>88</v>
      </c>
    </row>
    <row r="196" spans="1:11" ht="14.4" customHeight="1" x14ac:dyDescent="0.3">
      <c r="B196" s="16" t="s">
        <v>186</v>
      </c>
      <c r="C196" s="44"/>
      <c r="D196" s="89"/>
      <c r="E196" s="118"/>
      <c r="F196" s="143" t="s">
        <v>178</v>
      </c>
      <c r="G196" s="202"/>
      <c r="H196" s="185">
        <v>86</v>
      </c>
      <c r="I196" s="185">
        <v>87</v>
      </c>
      <c r="J196" s="185">
        <v>88</v>
      </c>
      <c r="K196" s="185">
        <v>88</v>
      </c>
    </row>
    <row r="197" spans="1:11" ht="14.4" customHeight="1" x14ac:dyDescent="0.3">
      <c r="B197" s="16" t="s">
        <v>324</v>
      </c>
      <c r="C197" s="44"/>
      <c r="D197" s="89"/>
      <c r="E197" s="118"/>
      <c r="F197" s="143" t="s">
        <v>178</v>
      </c>
      <c r="G197" s="202"/>
      <c r="H197" s="185">
        <v>86</v>
      </c>
      <c r="I197" s="185">
        <v>87</v>
      </c>
      <c r="J197" s="185">
        <v>88</v>
      </c>
      <c r="K197" s="185">
        <v>88</v>
      </c>
    </row>
    <row r="198" spans="1:11" ht="14.4" customHeight="1" x14ac:dyDescent="0.3">
      <c r="B198" s="16" t="s">
        <v>325</v>
      </c>
      <c r="C198" s="44"/>
      <c r="D198" s="89"/>
      <c r="E198" s="118"/>
      <c r="F198" s="143" t="s">
        <v>178</v>
      </c>
      <c r="G198" s="202"/>
      <c r="H198" s="185">
        <v>86</v>
      </c>
      <c r="I198" s="185">
        <v>87</v>
      </c>
      <c r="J198" s="185">
        <v>88</v>
      </c>
      <c r="K198" s="185">
        <v>88</v>
      </c>
    </row>
    <row r="199" spans="1:11" ht="14.4" customHeight="1" x14ac:dyDescent="0.3">
      <c r="B199" s="141" t="s">
        <v>326</v>
      </c>
      <c r="C199" s="79"/>
      <c r="D199" s="89"/>
      <c r="E199" s="118"/>
      <c r="F199" s="78" t="s">
        <v>178</v>
      </c>
      <c r="G199" s="202"/>
      <c r="H199" s="185">
        <v>86</v>
      </c>
      <c r="I199" s="185">
        <v>87</v>
      </c>
      <c r="J199" s="185">
        <v>88</v>
      </c>
      <c r="K199" s="185">
        <v>88</v>
      </c>
    </row>
    <row r="200" spans="1:11" ht="14.4" customHeight="1" x14ac:dyDescent="0.3">
      <c r="B200" s="142"/>
      <c r="C200" s="89"/>
      <c r="D200" s="89"/>
      <c r="E200" s="118"/>
      <c r="F200" s="143"/>
      <c r="G200" s="119"/>
      <c r="H200" s="119"/>
      <c r="I200" s="119"/>
      <c r="J200" s="119"/>
      <c r="K200" s="119"/>
    </row>
    <row r="201" spans="1:11" ht="14.4" customHeight="1" x14ac:dyDescent="0.3">
      <c r="B201" s="16"/>
      <c r="C201" s="89"/>
      <c r="D201" s="89"/>
      <c r="E201" s="118"/>
      <c r="F201" s="16"/>
      <c r="G201" s="119"/>
      <c r="H201" s="119"/>
      <c r="I201" s="119"/>
      <c r="J201" s="119"/>
      <c r="K201" s="119"/>
    </row>
    <row r="202" spans="1:11" ht="14.4" customHeight="1" x14ac:dyDescent="0.3">
      <c r="B202" s="16"/>
      <c r="C202" s="89"/>
      <c r="D202" s="89"/>
      <c r="E202" s="118"/>
      <c r="F202" s="16"/>
      <c r="G202" s="119"/>
      <c r="H202" s="119"/>
      <c r="I202" s="119"/>
      <c r="J202" s="119"/>
      <c r="K202" s="119"/>
    </row>
    <row r="203" spans="1:11" ht="14.4" customHeight="1" x14ac:dyDescent="0.3">
      <c r="A203" s="83" t="s">
        <v>109</v>
      </c>
      <c r="B203" s="98" t="s">
        <v>111</v>
      </c>
      <c r="C203" s="99"/>
      <c r="D203" s="99"/>
      <c r="E203" s="99"/>
      <c r="F203" s="99"/>
      <c r="G203" s="99"/>
      <c r="H203" s="99"/>
      <c r="I203" s="99"/>
      <c r="J203" s="99"/>
      <c r="K203" s="99"/>
    </row>
    <row r="204" spans="1:11" ht="14.4" customHeight="1" x14ac:dyDescent="0.3">
      <c r="B204" s="16" t="s">
        <v>149</v>
      </c>
      <c r="C204" s="44"/>
      <c r="D204" s="89"/>
      <c r="E204" s="118"/>
      <c r="F204" s="143" t="s">
        <v>150</v>
      </c>
      <c r="G204" s="89"/>
      <c r="H204" s="89">
        <f>H51*NAV!O$25</f>
        <v>2987756.1</v>
      </c>
      <c r="I204" s="89">
        <f>I51*NAV!P$25</f>
        <v>2962047.5010000002</v>
      </c>
      <c r="J204" s="89">
        <f>J51*NAV!Q$25</f>
        <v>3145898.7252000002</v>
      </c>
      <c r="K204" s="89">
        <f>K51*NAV!R$25</f>
        <v>3208816.6997040003</v>
      </c>
    </row>
    <row r="205" spans="1:11" ht="14.4" customHeight="1" x14ac:dyDescent="0.3">
      <c r="B205" s="16" t="s">
        <v>151</v>
      </c>
      <c r="C205" s="44"/>
      <c r="D205" s="89"/>
      <c r="E205" s="118"/>
      <c r="F205" s="143" t="s">
        <v>150</v>
      </c>
      <c r="G205" s="89"/>
      <c r="H205" s="89">
        <f>H52*NAV!O$25</f>
        <v>2987756.1</v>
      </c>
      <c r="I205" s="89">
        <f>I52*NAV!P$25</f>
        <v>2962047.5010000002</v>
      </c>
      <c r="J205" s="89">
        <f>J52*NAV!Q$25</f>
        <v>3145898.7252000002</v>
      </c>
      <c r="K205" s="89">
        <f>K52*NAV!R$25</f>
        <v>3208816.6997040003</v>
      </c>
    </row>
    <row r="206" spans="1:11" ht="14.4" customHeight="1" x14ac:dyDescent="0.3">
      <c r="B206" s="16" t="s">
        <v>152</v>
      </c>
      <c r="C206" s="44"/>
      <c r="D206" s="89"/>
      <c r="E206" s="118"/>
      <c r="F206" s="143" t="s">
        <v>150</v>
      </c>
      <c r="G206" s="89"/>
      <c r="H206" s="89">
        <f>H53*NAV!O$25</f>
        <v>2987756.1</v>
      </c>
      <c r="I206" s="89">
        <f>I53*NAV!P$25</f>
        <v>2962047.5010000002</v>
      </c>
      <c r="J206" s="89">
        <f>J53*NAV!Q$25</f>
        <v>3145898.7252000002</v>
      </c>
      <c r="K206" s="89">
        <f>K53*NAV!R$25</f>
        <v>3208816.6997040003</v>
      </c>
    </row>
    <row r="207" spans="1:11" ht="14.4" customHeight="1" x14ac:dyDescent="0.3">
      <c r="B207" s="16" t="s">
        <v>153</v>
      </c>
      <c r="C207" s="44"/>
      <c r="D207" s="89"/>
      <c r="E207" s="118"/>
      <c r="F207" s="143" t="s">
        <v>150</v>
      </c>
      <c r="G207" s="89"/>
      <c r="H207" s="89">
        <f>H54*NAV!O$25</f>
        <v>2987756.1</v>
      </c>
      <c r="I207" s="89">
        <f>I54*NAV!P$25</f>
        <v>2962047.5010000002</v>
      </c>
      <c r="J207" s="89">
        <f>J54*NAV!Q$25</f>
        <v>3145898.7252000002</v>
      </c>
      <c r="K207" s="89">
        <f>K54*NAV!R$25</f>
        <v>3208816.6997040003</v>
      </c>
    </row>
    <row r="208" spans="1:11" ht="14.4" customHeight="1" x14ac:dyDescent="0.3">
      <c r="B208" s="16" t="s">
        <v>190</v>
      </c>
      <c r="C208" s="44"/>
      <c r="D208" s="89"/>
      <c r="E208" s="118"/>
      <c r="F208" s="143" t="s">
        <v>150</v>
      </c>
      <c r="G208" s="89"/>
      <c r="H208" s="89">
        <f>H55*NAV!O$25</f>
        <v>2987756.1</v>
      </c>
      <c r="I208" s="89">
        <f>I55*NAV!P$25</f>
        <v>2962047.5010000002</v>
      </c>
      <c r="J208" s="89">
        <f>J55*NAV!Q$25</f>
        <v>3145898.7252000002</v>
      </c>
      <c r="K208" s="89">
        <f>K55*NAV!R$25</f>
        <v>3208816.6997040003</v>
      </c>
    </row>
    <row r="209" spans="2:11" ht="14.4" customHeight="1" x14ac:dyDescent="0.3">
      <c r="B209" s="16" t="s">
        <v>191</v>
      </c>
      <c r="C209" s="44"/>
      <c r="D209" s="89"/>
      <c r="E209" s="118"/>
      <c r="F209" s="143" t="s">
        <v>150</v>
      </c>
      <c r="G209" s="89"/>
      <c r="H209" s="89">
        <f>H56*NAV!O$25</f>
        <v>2987756.1</v>
      </c>
      <c r="I209" s="89">
        <f>I56*NAV!P$25</f>
        <v>2962047.5010000002</v>
      </c>
      <c r="J209" s="89">
        <f>J56*NAV!Q$25</f>
        <v>3145898.7252000002</v>
      </c>
      <c r="K209" s="89">
        <f>K56*NAV!R$25</f>
        <v>3208816.6997040003</v>
      </c>
    </row>
    <row r="210" spans="2:11" ht="14.4" customHeight="1" x14ac:dyDescent="0.3">
      <c r="B210" s="16" t="s">
        <v>192</v>
      </c>
      <c r="C210" s="44"/>
      <c r="D210" s="89"/>
      <c r="E210" s="118"/>
      <c r="F210" s="143" t="s">
        <v>150</v>
      </c>
      <c r="G210" s="89"/>
      <c r="H210" s="89">
        <f>H57*NAV!O$25</f>
        <v>2987756.1</v>
      </c>
      <c r="I210" s="89">
        <f>I57*NAV!P$25</f>
        <v>2962047.5010000002</v>
      </c>
      <c r="J210" s="89">
        <f>J57*NAV!Q$25</f>
        <v>3145898.7252000002</v>
      </c>
      <c r="K210" s="89">
        <f>K57*NAV!R$25</f>
        <v>3208816.6997040003</v>
      </c>
    </row>
    <row r="211" spans="2:11" ht="14.4" customHeight="1" x14ac:dyDescent="0.3">
      <c r="B211" s="16" t="s">
        <v>193</v>
      </c>
      <c r="C211" s="44"/>
      <c r="D211" s="89"/>
      <c r="E211" s="118"/>
      <c r="F211" s="143" t="s">
        <v>150</v>
      </c>
      <c r="G211" s="89"/>
      <c r="H211" s="89">
        <f>H58*NAV!O$25</f>
        <v>2987756.1</v>
      </c>
      <c r="I211" s="89">
        <f>I58*NAV!P$25</f>
        <v>2962047.5010000002</v>
      </c>
      <c r="J211" s="89">
        <f>J58*NAV!Q$25</f>
        <v>3145898.7252000002</v>
      </c>
      <c r="K211" s="89">
        <f>K58*NAV!R$25</f>
        <v>3208816.6997040003</v>
      </c>
    </row>
    <row r="212" spans="2:11" ht="14.4" customHeight="1" x14ac:dyDescent="0.3">
      <c r="B212" s="16" t="s">
        <v>194</v>
      </c>
      <c r="C212" s="44"/>
      <c r="D212" s="89"/>
      <c r="E212" s="118"/>
      <c r="F212" s="143" t="s">
        <v>150</v>
      </c>
      <c r="G212" s="89"/>
      <c r="H212" s="89">
        <f>H59*NAV!O$25</f>
        <v>2987756.1</v>
      </c>
      <c r="I212" s="89">
        <f>I59*NAV!P$25</f>
        <v>2962047.5010000002</v>
      </c>
      <c r="J212" s="89">
        <f>J59*NAV!Q$25</f>
        <v>3145898.7252000002</v>
      </c>
      <c r="K212" s="89">
        <f>K59*NAV!R$25</f>
        <v>3208816.6997040003</v>
      </c>
    </row>
    <row r="213" spans="2:11" ht="14.4" customHeight="1" x14ac:dyDescent="0.3">
      <c r="B213" s="16" t="s">
        <v>195</v>
      </c>
      <c r="C213" s="44"/>
      <c r="D213" s="89"/>
      <c r="E213" s="118"/>
      <c r="F213" s="143" t="s">
        <v>150</v>
      </c>
      <c r="G213" s="89"/>
      <c r="H213" s="89">
        <f>H60*NAV!O$25</f>
        <v>2987756.1</v>
      </c>
      <c r="I213" s="89">
        <f>I60*NAV!P$25</f>
        <v>2962047.5010000002</v>
      </c>
      <c r="J213" s="89">
        <f>J60*NAV!Q$25</f>
        <v>3145898.7252000002</v>
      </c>
      <c r="K213" s="89">
        <f>K60*NAV!R$25</f>
        <v>3208816.6997040003</v>
      </c>
    </row>
    <row r="214" spans="2:11" ht="14.4" customHeight="1" x14ac:dyDescent="0.3">
      <c r="B214" s="16" t="s">
        <v>196</v>
      </c>
      <c r="C214" s="44"/>
      <c r="D214" s="89"/>
      <c r="E214" s="118"/>
      <c r="F214" s="143" t="s">
        <v>150</v>
      </c>
      <c r="G214" s="89"/>
      <c r="H214" s="89">
        <f>H61*NAV!O$25</f>
        <v>2987756.1</v>
      </c>
      <c r="I214" s="89">
        <f>I61*NAV!P$25</f>
        <v>2962047.5010000002</v>
      </c>
      <c r="J214" s="89">
        <f>J61*NAV!Q$25</f>
        <v>3145898.7252000002</v>
      </c>
      <c r="K214" s="89">
        <f>K61*NAV!R$25</f>
        <v>3208816.6997040003</v>
      </c>
    </row>
    <row r="215" spans="2:11" ht="14.4" customHeight="1" x14ac:dyDescent="0.3">
      <c r="B215" s="16" t="s">
        <v>197</v>
      </c>
      <c r="C215" s="44"/>
      <c r="D215" s="89"/>
      <c r="E215" s="118"/>
      <c r="F215" s="143" t="s">
        <v>150</v>
      </c>
      <c r="G215" s="89"/>
      <c r="H215" s="89">
        <f>H62*NAV!O$25</f>
        <v>2987756.1</v>
      </c>
      <c r="I215" s="89">
        <f>I62*NAV!P$25</f>
        <v>2962047.5010000002</v>
      </c>
      <c r="J215" s="89">
        <f>J62*NAV!Q$25</f>
        <v>3145898.7252000002</v>
      </c>
      <c r="K215" s="89">
        <f>K62*NAV!R$25</f>
        <v>3208816.6997040003</v>
      </c>
    </row>
    <row r="216" spans="2:11" ht="14.4" customHeight="1" x14ac:dyDescent="0.3">
      <c r="B216" s="16" t="s">
        <v>198</v>
      </c>
      <c r="C216" s="44"/>
      <c r="D216" s="89"/>
      <c r="E216" s="118"/>
      <c r="F216" s="143" t="s">
        <v>150</v>
      </c>
      <c r="G216" s="89"/>
      <c r="H216" s="89">
        <f>H63*NAV!O$25</f>
        <v>2987756.1</v>
      </c>
      <c r="I216" s="89">
        <f>I63*NAV!P$25</f>
        <v>2962047.5010000002</v>
      </c>
      <c r="J216" s="89">
        <f>J63*NAV!Q$25</f>
        <v>3145898.7252000002</v>
      </c>
      <c r="K216" s="89">
        <f>K63*NAV!R$25</f>
        <v>3208816.6997040003</v>
      </c>
    </row>
    <row r="217" spans="2:11" ht="14.4" customHeight="1" x14ac:dyDescent="0.3">
      <c r="B217" s="16" t="s">
        <v>199</v>
      </c>
      <c r="C217" s="44"/>
      <c r="D217" s="89"/>
      <c r="E217" s="118"/>
      <c r="F217" s="143" t="s">
        <v>150</v>
      </c>
      <c r="G217" s="89"/>
      <c r="H217" s="89">
        <f>H64*NAV!O$25</f>
        <v>2987756.1</v>
      </c>
      <c r="I217" s="89">
        <f>I64*NAV!P$25</f>
        <v>2962047.5010000002</v>
      </c>
      <c r="J217" s="89">
        <f>J64*NAV!Q$25</f>
        <v>3145898.7252000002</v>
      </c>
      <c r="K217" s="89">
        <f>K64*NAV!R$25</f>
        <v>3208816.6997040003</v>
      </c>
    </row>
    <row r="218" spans="2:11" ht="14.4" customHeight="1" x14ac:dyDescent="0.3">
      <c r="B218" s="16" t="s">
        <v>200</v>
      </c>
      <c r="C218" s="44"/>
      <c r="D218" s="89"/>
      <c r="E218" s="118"/>
      <c r="F218" s="143" t="s">
        <v>150</v>
      </c>
      <c r="G218" s="89"/>
      <c r="H218" s="89">
        <f>H65*NAV!O$25</f>
        <v>2987756.1</v>
      </c>
      <c r="I218" s="89">
        <f>I65*NAV!P$25</f>
        <v>2962047.5010000002</v>
      </c>
      <c r="J218" s="89">
        <f>J65*NAV!Q$25</f>
        <v>3145898.7252000002</v>
      </c>
      <c r="K218" s="89">
        <f>K65*NAV!R$25</f>
        <v>3208816.6997040003</v>
      </c>
    </row>
    <row r="219" spans="2:11" ht="14.4" customHeight="1" x14ac:dyDescent="0.3">
      <c r="B219" s="16" t="s">
        <v>201</v>
      </c>
      <c r="C219" s="44"/>
      <c r="D219" s="89"/>
      <c r="E219" s="89"/>
      <c r="F219" s="143" t="s">
        <v>150</v>
      </c>
      <c r="G219" s="89"/>
      <c r="H219" s="89">
        <f>H66*NAV!O$25</f>
        <v>2987756.1</v>
      </c>
      <c r="I219" s="89">
        <f>I66*NAV!P$25</f>
        <v>2962047.5010000002</v>
      </c>
      <c r="J219" s="89">
        <f>J66*NAV!Q$25</f>
        <v>3145898.7252000002</v>
      </c>
      <c r="K219" s="89">
        <f>K66*NAV!R$25</f>
        <v>3208816.6997040003</v>
      </c>
    </row>
    <row r="220" spans="2:11" ht="14.4" customHeight="1" x14ac:dyDescent="0.3">
      <c r="B220" s="16" t="s">
        <v>202</v>
      </c>
      <c r="C220" s="44"/>
      <c r="D220" s="89"/>
      <c r="E220" s="89"/>
      <c r="F220" s="143" t="s">
        <v>150</v>
      </c>
      <c r="G220" s="89"/>
      <c r="H220" s="89">
        <f>H67*NAV!O$25</f>
        <v>2987756.1</v>
      </c>
      <c r="I220" s="89">
        <f>I67*NAV!P$25</f>
        <v>2962047.5010000002</v>
      </c>
      <c r="J220" s="89">
        <f>J67*NAV!Q$25</f>
        <v>3145898.7252000002</v>
      </c>
      <c r="K220" s="89">
        <f>K67*NAV!R$25</f>
        <v>3208816.6997040003</v>
      </c>
    </row>
    <row r="221" spans="2:11" ht="14.4" customHeight="1" x14ac:dyDescent="0.3">
      <c r="B221" s="16" t="s">
        <v>154</v>
      </c>
      <c r="C221" s="44"/>
      <c r="D221" s="89"/>
      <c r="E221" s="89"/>
      <c r="F221" s="143" t="s">
        <v>155</v>
      </c>
      <c r="G221" s="89"/>
      <c r="H221" s="89">
        <f>H68*NAV!O$25</f>
        <v>2987756.1</v>
      </c>
      <c r="I221" s="89">
        <f>I68*NAV!P$25</f>
        <v>2962047.5010000002</v>
      </c>
      <c r="J221" s="89">
        <f>J68*NAV!Q$25</f>
        <v>3145898.7252000002</v>
      </c>
      <c r="K221" s="89">
        <f>K68*NAV!R$25</f>
        <v>3208816.6997040003</v>
      </c>
    </row>
    <row r="222" spans="2:11" ht="14.4" customHeight="1" x14ac:dyDescent="0.3">
      <c r="B222" s="16" t="s">
        <v>156</v>
      </c>
      <c r="C222" s="44"/>
      <c r="D222" s="89"/>
      <c r="E222" s="89"/>
      <c r="F222" s="143" t="s">
        <v>155</v>
      </c>
      <c r="G222" s="89"/>
      <c r="H222" s="89">
        <f>H69*NAV!O$25</f>
        <v>2987756.1</v>
      </c>
      <c r="I222" s="89">
        <f>I69*NAV!P$25</f>
        <v>2962047.5010000002</v>
      </c>
      <c r="J222" s="89">
        <f>J69*NAV!Q$25</f>
        <v>3145898.7252000002</v>
      </c>
      <c r="K222" s="89">
        <f>K69*NAV!R$25</f>
        <v>3208816.6997040003</v>
      </c>
    </row>
    <row r="223" spans="2:11" ht="14.4" customHeight="1" x14ac:dyDescent="0.3">
      <c r="B223" s="16" t="s">
        <v>204</v>
      </c>
      <c r="C223" s="44"/>
      <c r="D223" s="89"/>
      <c r="E223" s="89"/>
      <c r="F223" s="143" t="s">
        <v>155</v>
      </c>
      <c r="G223" s="89"/>
      <c r="H223" s="89">
        <f>H70*NAV!O$25</f>
        <v>2987756.1</v>
      </c>
      <c r="I223" s="89">
        <f>I70*NAV!P$25</f>
        <v>2962047.5010000002</v>
      </c>
      <c r="J223" s="89">
        <f>J70*NAV!Q$25</f>
        <v>3145898.7252000002</v>
      </c>
      <c r="K223" s="89">
        <f>K70*NAV!R$25</f>
        <v>3208816.6997040003</v>
      </c>
    </row>
    <row r="224" spans="2:11" ht="14.4" customHeight="1" x14ac:dyDescent="0.3">
      <c r="B224" s="16" t="s">
        <v>205</v>
      </c>
      <c r="C224" s="44"/>
      <c r="D224" s="89"/>
      <c r="E224" s="89"/>
      <c r="F224" s="143" t="s">
        <v>155</v>
      </c>
      <c r="G224" s="89"/>
      <c r="H224" s="89">
        <f>H71*NAV!O$25</f>
        <v>2987756.1</v>
      </c>
      <c r="I224" s="89">
        <f>I71*NAV!P$25</f>
        <v>2962047.5010000002</v>
      </c>
      <c r="J224" s="89">
        <f>J71*NAV!Q$25</f>
        <v>3145898.7252000002</v>
      </c>
      <c r="K224" s="89">
        <f>K71*NAV!R$25</f>
        <v>3208816.6997040003</v>
      </c>
    </row>
    <row r="225" spans="2:11" ht="14.4" customHeight="1" x14ac:dyDescent="0.3">
      <c r="B225" s="16" t="s">
        <v>206</v>
      </c>
      <c r="C225" s="44"/>
      <c r="D225" s="89"/>
      <c r="E225" s="89"/>
      <c r="F225" s="143" t="s">
        <v>155</v>
      </c>
      <c r="G225" s="89"/>
      <c r="H225" s="89">
        <f>H72*NAV!O$25</f>
        <v>2987756.1</v>
      </c>
      <c r="I225" s="89">
        <f>I72*NAV!P$25</f>
        <v>2962047.5010000002</v>
      </c>
      <c r="J225" s="89">
        <f>J72*NAV!Q$25</f>
        <v>3145898.7252000002</v>
      </c>
      <c r="K225" s="89">
        <f>K72*NAV!R$25</f>
        <v>3208816.6997040003</v>
      </c>
    </row>
    <row r="226" spans="2:11" ht="14.4" customHeight="1" x14ac:dyDescent="0.3">
      <c r="B226" s="16" t="s">
        <v>207</v>
      </c>
      <c r="C226" s="44"/>
      <c r="D226" s="89"/>
      <c r="E226" s="89"/>
      <c r="F226" s="143" t="s">
        <v>155</v>
      </c>
      <c r="G226" s="89"/>
      <c r="H226" s="89">
        <f>H73*NAV!O$25</f>
        <v>2987756.1</v>
      </c>
      <c r="I226" s="89">
        <f>I73*NAV!P$25</f>
        <v>2962047.5010000002</v>
      </c>
      <c r="J226" s="89">
        <f>J73*NAV!Q$25</f>
        <v>3145898.7252000002</v>
      </c>
      <c r="K226" s="89">
        <f>K73*NAV!R$25</f>
        <v>3208816.6997040003</v>
      </c>
    </row>
    <row r="227" spans="2:11" ht="14.4" customHeight="1" x14ac:dyDescent="0.3">
      <c r="B227" s="16" t="s">
        <v>208</v>
      </c>
      <c r="C227" s="44"/>
      <c r="D227" s="89"/>
      <c r="E227" s="89"/>
      <c r="F227" s="143" t="s">
        <v>155</v>
      </c>
      <c r="G227" s="89"/>
      <c r="H227" s="89">
        <f>H74*NAV!O$25</f>
        <v>2987756.1</v>
      </c>
      <c r="I227" s="89">
        <f>I74*NAV!P$25</f>
        <v>2962047.5010000002</v>
      </c>
      <c r="J227" s="89">
        <f>J74*NAV!Q$25</f>
        <v>3145898.7252000002</v>
      </c>
      <c r="K227" s="89">
        <f>K74*NAV!R$25</f>
        <v>3208816.6997040003</v>
      </c>
    </row>
    <row r="228" spans="2:11" ht="14.4" customHeight="1" x14ac:dyDescent="0.3">
      <c r="B228" s="16" t="s">
        <v>209</v>
      </c>
      <c r="C228" s="44"/>
      <c r="D228" s="89"/>
      <c r="E228" s="89"/>
      <c r="F228" s="143" t="s">
        <v>155</v>
      </c>
      <c r="G228" s="89"/>
      <c r="H228" s="89">
        <f>H75*NAV!O$25</f>
        <v>2987756.1</v>
      </c>
      <c r="I228" s="89">
        <f>I75*NAV!P$25</f>
        <v>2962047.5010000002</v>
      </c>
      <c r="J228" s="89">
        <f>J75*NAV!Q$25</f>
        <v>3145898.7252000002</v>
      </c>
      <c r="K228" s="89">
        <f>K75*NAV!R$25</f>
        <v>3208816.6997040003</v>
      </c>
    </row>
    <row r="229" spans="2:11" ht="14.4" customHeight="1" x14ac:dyDescent="0.3">
      <c r="B229" s="16" t="s">
        <v>210</v>
      </c>
      <c r="C229" s="44"/>
      <c r="D229" s="89"/>
      <c r="E229" s="89"/>
      <c r="F229" s="143" t="s">
        <v>155</v>
      </c>
      <c r="G229" s="89"/>
      <c r="H229" s="89">
        <f>H76*NAV!O$25</f>
        <v>2987756.1</v>
      </c>
      <c r="I229" s="89">
        <f>I76*NAV!P$25</f>
        <v>2962047.5010000002</v>
      </c>
      <c r="J229" s="89">
        <f>J76*NAV!Q$25</f>
        <v>3145898.7252000002</v>
      </c>
      <c r="K229" s="89">
        <f>K76*NAV!R$25</f>
        <v>3208816.6997040003</v>
      </c>
    </row>
    <row r="230" spans="2:11" ht="14.4" customHeight="1" x14ac:dyDescent="0.3">
      <c r="B230" s="16" t="s">
        <v>216</v>
      </c>
      <c r="C230" s="44"/>
      <c r="D230" s="89"/>
      <c r="E230" s="89"/>
      <c r="F230" s="143" t="s">
        <v>155</v>
      </c>
      <c r="G230" s="89"/>
      <c r="H230" s="89">
        <f>H77*NAV!O$25</f>
        <v>2987756.1</v>
      </c>
      <c r="I230" s="89">
        <f>I77*NAV!P$25</f>
        <v>2962047.5010000002</v>
      </c>
      <c r="J230" s="89">
        <f>J77*NAV!Q$25</f>
        <v>3145898.7252000002</v>
      </c>
      <c r="K230" s="89">
        <f>K77*NAV!R$25</f>
        <v>3208816.6997040003</v>
      </c>
    </row>
    <row r="231" spans="2:11" ht="14.4" customHeight="1" x14ac:dyDescent="0.3">
      <c r="B231" s="16" t="s">
        <v>218</v>
      </c>
      <c r="C231" s="44"/>
      <c r="D231" s="89"/>
      <c r="E231" s="89"/>
      <c r="F231" s="143" t="s">
        <v>155</v>
      </c>
      <c r="G231" s="89"/>
      <c r="H231" s="89">
        <f>H78*NAV!O$25</f>
        <v>2987756.1</v>
      </c>
      <c r="I231" s="89">
        <f>I78*NAV!P$25</f>
        <v>2962047.5010000002</v>
      </c>
      <c r="J231" s="89">
        <f>J78*NAV!Q$25</f>
        <v>3145898.7252000002</v>
      </c>
      <c r="K231" s="89">
        <f>K78*NAV!R$25</f>
        <v>3208816.6997040003</v>
      </c>
    </row>
    <row r="232" spans="2:11" ht="14.4" customHeight="1" x14ac:dyDescent="0.3">
      <c r="B232" s="16" t="s">
        <v>215</v>
      </c>
      <c r="C232" s="44"/>
      <c r="D232" s="89"/>
      <c r="E232" s="89"/>
      <c r="F232" s="143" t="s">
        <v>155</v>
      </c>
      <c r="G232" s="89"/>
      <c r="H232" s="89">
        <f>H79*NAV!O$25</f>
        <v>2987756.1</v>
      </c>
      <c r="I232" s="89">
        <f>I79*NAV!P$25</f>
        <v>2962047.5010000002</v>
      </c>
      <c r="J232" s="89">
        <f>J79*NAV!Q$25</f>
        <v>3145898.7252000002</v>
      </c>
      <c r="K232" s="89">
        <f>K79*NAV!R$25</f>
        <v>3208816.6997040003</v>
      </c>
    </row>
    <row r="233" spans="2:11" ht="14.4" customHeight="1" x14ac:dyDescent="0.3">
      <c r="B233" s="16" t="s">
        <v>219</v>
      </c>
      <c r="C233" s="44"/>
      <c r="D233" s="89"/>
      <c r="E233" s="89"/>
      <c r="F233" s="143" t="s">
        <v>155</v>
      </c>
      <c r="G233" s="89"/>
      <c r="H233" s="89">
        <f>H80*NAV!O$25</f>
        <v>2987756.1</v>
      </c>
      <c r="I233" s="89">
        <f>I80*NAV!P$25</f>
        <v>2962047.5010000002</v>
      </c>
      <c r="J233" s="89">
        <f>J80*NAV!Q$25</f>
        <v>3145898.7252000002</v>
      </c>
      <c r="K233" s="89">
        <f>K80*NAV!R$25</f>
        <v>3208816.6997040003</v>
      </c>
    </row>
    <row r="234" spans="2:11" ht="14.4" customHeight="1" x14ac:dyDescent="0.3">
      <c r="B234" s="16" t="s">
        <v>157</v>
      </c>
      <c r="C234" s="44"/>
      <c r="D234" s="89"/>
      <c r="E234" s="89"/>
      <c r="F234" s="143" t="s">
        <v>155</v>
      </c>
      <c r="G234" s="89"/>
      <c r="H234" s="89">
        <f>H81*NAV!O$25</f>
        <v>2987756.1</v>
      </c>
      <c r="I234" s="89">
        <f>I81*NAV!P$25</f>
        <v>2962047.5010000002</v>
      </c>
      <c r="J234" s="89">
        <f>J81*NAV!Q$25</f>
        <v>3145898.7252000002</v>
      </c>
      <c r="K234" s="89">
        <f>K81*NAV!R$25</f>
        <v>3208816.6997040003</v>
      </c>
    </row>
    <row r="235" spans="2:11" ht="14.4" customHeight="1" x14ac:dyDescent="0.3">
      <c r="B235" s="22" t="s">
        <v>221</v>
      </c>
      <c r="C235" s="44"/>
      <c r="D235" s="89"/>
      <c r="E235" s="89"/>
      <c r="F235" s="143" t="s">
        <v>155</v>
      </c>
      <c r="G235" s="89"/>
      <c r="H235" s="89">
        <f>H82*NAV!O$25</f>
        <v>521120.25</v>
      </c>
      <c r="I235" s="89">
        <f>I82*NAV!P$25</f>
        <v>0</v>
      </c>
      <c r="J235" s="89">
        <f>J82*NAV!Q$25</f>
        <v>0</v>
      </c>
      <c r="K235" s="89">
        <f>K82*NAV!R$25</f>
        <v>0</v>
      </c>
    </row>
    <row r="236" spans="2:11" ht="14.4" customHeight="1" x14ac:dyDescent="0.3">
      <c r="B236" s="158" t="s">
        <v>158</v>
      </c>
      <c r="C236" s="44"/>
      <c r="D236" s="89"/>
      <c r="E236" s="89"/>
      <c r="F236" s="159" t="s">
        <v>155</v>
      </c>
      <c r="G236" s="89"/>
      <c r="H236" s="89">
        <f>H83*NAV!O$25</f>
        <v>2987756.1</v>
      </c>
      <c r="I236" s="89">
        <f>I83*NAV!P$25</f>
        <v>2962047.5010000002</v>
      </c>
      <c r="J236" s="89">
        <f>J83*NAV!Q$25</f>
        <v>3145898.7252000002</v>
      </c>
      <c r="K236" s="89">
        <f>K83*NAV!R$25</f>
        <v>3208816.6997040003</v>
      </c>
    </row>
    <row r="237" spans="2:11" ht="14.4" customHeight="1" x14ac:dyDescent="0.3">
      <c r="B237" s="16" t="s">
        <v>222</v>
      </c>
      <c r="C237" s="44"/>
      <c r="D237" s="89"/>
      <c r="E237" s="89"/>
      <c r="F237" s="143" t="s">
        <v>159</v>
      </c>
      <c r="G237" s="89"/>
      <c r="H237" s="89">
        <f>H84*NAV!O$26</f>
        <v>1960503.3</v>
      </c>
      <c r="I237" s="89">
        <f>I84*NAV!P$26</f>
        <v>1884134.8574999999</v>
      </c>
      <c r="J237" s="89">
        <f>J84*NAV!Q$26</f>
        <v>2001081.1590000002</v>
      </c>
      <c r="K237" s="89">
        <f>K84*NAV!R$26</f>
        <v>2041102.7821800003</v>
      </c>
    </row>
    <row r="238" spans="2:11" ht="14.4" customHeight="1" x14ac:dyDescent="0.3">
      <c r="B238" s="16" t="s">
        <v>223</v>
      </c>
      <c r="C238" s="44"/>
      <c r="D238" s="89"/>
      <c r="E238" s="89"/>
      <c r="F238" s="143" t="s">
        <v>159</v>
      </c>
      <c r="G238" s="89"/>
      <c r="H238" s="89">
        <f>H85*NAV!O$26</f>
        <v>1960503.3</v>
      </c>
      <c r="I238" s="89">
        <f>I85*NAV!P$26</f>
        <v>1884134.8574999999</v>
      </c>
      <c r="J238" s="89">
        <f>J85*NAV!Q$26</f>
        <v>2001081.1590000002</v>
      </c>
      <c r="K238" s="89">
        <f>K85*NAV!R$26</f>
        <v>2041102.7821800003</v>
      </c>
    </row>
    <row r="239" spans="2:11" ht="14.4" customHeight="1" x14ac:dyDescent="0.3">
      <c r="B239" s="16" t="s">
        <v>160</v>
      </c>
      <c r="C239" s="44"/>
      <c r="D239" s="89"/>
      <c r="E239" s="89"/>
      <c r="F239" s="143" t="s">
        <v>159</v>
      </c>
      <c r="G239" s="89"/>
      <c r="H239" s="89">
        <f>H86*NAV!O$26</f>
        <v>1960503.3</v>
      </c>
      <c r="I239" s="89">
        <f>I86*NAV!P$26</f>
        <v>1884134.8574999999</v>
      </c>
      <c r="J239" s="89">
        <f>J86*NAV!Q$26</f>
        <v>2001081.1590000002</v>
      </c>
      <c r="K239" s="89">
        <f>K86*NAV!R$26</f>
        <v>2041102.7821800003</v>
      </c>
    </row>
    <row r="240" spans="2:11" ht="14.4" customHeight="1" x14ac:dyDescent="0.3">
      <c r="B240" s="16" t="s">
        <v>161</v>
      </c>
      <c r="C240" s="44"/>
      <c r="D240" s="89"/>
      <c r="E240" s="89"/>
      <c r="F240" s="143" t="s">
        <v>159</v>
      </c>
      <c r="G240" s="89"/>
      <c r="H240" s="89">
        <f>H87*NAV!O$26</f>
        <v>1960503.3</v>
      </c>
      <c r="I240" s="89">
        <f>I87*NAV!P$26</f>
        <v>1884134.8574999999</v>
      </c>
      <c r="J240" s="89">
        <f>J87*NAV!Q$26</f>
        <v>2001081.1590000002</v>
      </c>
      <c r="K240" s="89">
        <f>K87*NAV!R$26</f>
        <v>2041102.7821800003</v>
      </c>
    </row>
    <row r="241" spans="2:11" ht="14.4" customHeight="1" x14ac:dyDescent="0.3">
      <c r="B241" s="16" t="s">
        <v>225</v>
      </c>
      <c r="C241" s="44"/>
      <c r="D241" s="89"/>
      <c r="E241" s="89"/>
      <c r="F241" s="143" t="s">
        <v>159</v>
      </c>
      <c r="G241" s="89"/>
      <c r="H241" s="89">
        <f>H88*NAV!O$26</f>
        <v>1960503.3</v>
      </c>
      <c r="I241" s="89">
        <f>I88*NAV!P$26</f>
        <v>1884134.8574999999</v>
      </c>
      <c r="J241" s="89">
        <f>J88*NAV!Q$26</f>
        <v>2001081.1590000002</v>
      </c>
      <c r="K241" s="89">
        <f>K88*NAV!R$26</f>
        <v>2041102.7821800003</v>
      </c>
    </row>
    <row r="242" spans="2:11" ht="14.4" customHeight="1" x14ac:dyDescent="0.3">
      <c r="B242" s="16" t="s">
        <v>226</v>
      </c>
      <c r="C242" s="44"/>
      <c r="D242" s="89"/>
      <c r="E242" s="89"/>
      <c r="F242" s="143" t="s">
        <v>159</v>
      </c>
      <c r="G242" s="89"/>
      <c r="H242" s="89">
        <f>H89*NAV!O$26</f>
        <v>1960503.3</v>
      </c>
      <c r="I242" s="89">
        <f>I89*NAV!P$26</f>
        <v>1884134.8574999999</v>
      </c>
      <c r="J242" s="89">
        <f>J89*NAV!Q$26</f>
        <v>2001081.1590000002</v>
      </c>
      <c r="K242" s="89">
        <f>K89*NAV!R$26</f>
        <v>2041102.7821800003</v>
      </c>
    </row>
    <row r="243" spans="2:11" ht="14.4" customHeight="1" x14ac:dyDescent="0.3">
      <c r="B243" s="16" t="s">
        <v>227</v>
      </c>
      <c r="C243" s="44"/>
      <c r="D243" s="89"/>
      <c r="E243" s="89"/>
      <c r="F243" s="143" t="s">
        <v>159</v>
      </c>
      <c r="G243" s="89"/>
      <c r="H243" s="89">
        <f>H90*NAV!O$26</f>
        <v>1960503.3</v>
      </c>
      <c r="I243" s="89">
        <f>I90*NAV!P$26</f>
        <v>1884134.8574999999</v>
      </c>
      <c r="J243" s="89">
        <f>J90*NAV!Q$26</f>
        <v>2001081.1590000002</v>
      </c>
      <c r="K243" s="89">
        <f>K90*NAV!R$26</f>
        <v>2041102.7821800003</v>
      </c>
    </row>
    <row r="244" spans="2:11" ht="14.4" customHeight="1" x14ac:dyDescent="0.3">
      <c r="B244" s="16" t="s">
        <v>228</v>
      </c>
      <c r="C244" s="44"/>
      <c r="D244" s="89"/>
      <c r="E244" s="89"/>
      <c r="F244" s="143" t="s">
        <v>162</v>
      </c>
      <c r="G244" s="89"/>
      <c r="H244" s="89">
        <f>H91*NAV!O$26</f>
        <v>1960503.3</v>
      </c>
      <c r="I244" s="89">
        <f>I91*NAV!P$26</f>
        <v>1884134.8574999999</v>
      </c>
      <c r="J244" s="89">
        <f>J91*NAV!Q$26</f>
        <v>2001081.1590000002</v>
      </c>
      <c r="K244" s="89">
        <f>K91*NAV!R$26</f>
        <v>2041102.7821800003</v>
      </c>
    </row>
    <row r="245" spans="2:11" ht="14.4" customHeight="1" x14ac:dyDescent="0.3">
      <c r="B245" s="16" t="s">
        <v>229</v>
      </c>
      <c r="C245" s="44"/>
      <c r="D245" s="89"/>
      <c r="E245" s="89"/>
      <c r="F245" s="143" t="s">
        <v>162</v>
      </c>
      <c r="G245" s="89"/>
      <c r="H245" s="89">
        <f>H92*NAV!O$26</f>
        <v>1960503.3</v>
      </c>
      <c r="I245" s="89">
        <f>I92*NAV!P$26</f>
        <v>1884134.8574999999</v>
      </c>
      <c r="J245" s="89">
        <f>J92*NAV!Q$26</f>
        <v>2001081.1590000002</v>
      </c>
      <c r="K245" s="89">
        <f>K92*NAV!R$26</f>
        <v>2041102.7821800003</v>
      </c>
    </row>
    <row r="246" spans="2:11" ht="14.4" customHeight="1" x14ac:dyDescent="0.3">
      <c r="B246" s="16" t="s">
        <v>230</v>
      </c>
      <c r="C246" s="44"/>
      <c r="D246" s="89"/>
      <c r="E246" s="89"/>
      <c r="F246" s="143" t="s">
        <v>162</v>
      </c>
      <c r="G246" s="89"/>
      <c r="H246" s="89">
        <f>H93*NAV!O$26</f>
        <v>1960503.3</v>
      </c>
      <c r="I246" s="89">
        <f>I93*NAV!P$26</f>
        <v>1884134.8574999999</v>
      </c>
      <c r="J246" s="89">
        <f>J93*NAV!Q$26</f>
        <v>2001081.1590000002</v>
      </c>
      <c r="K246" s="89">
        <f>K93*NAV!R$26</f>
        <v>2041102.7821800003</v>
      </c>
    </row>
    <row r="247" spans="2:11" ht="14.4" customHeight="1" x14ac:dyDescent="0.3">
      <c r="B247" s="16" t="s">
        <v>234</v>
      </c>
      <c r="C247" s="44"/>
      <c r="D247" s="89"/>
      <c r="E247" s="89"/>
      <c r="F247" s="143" t="s">
        <v>162</v>
      </c>
      <c r="G247" s="89"/>
      <c r="H247" s="89">
        <f>H94*NAV!O$26</f>
        <v>1960503.3</v>
      </c>
      <c r="I247" s="89">
        <f>I94*NAV!P$26</f>
        <v>1884134.8574999999</v>
      </c>
      <c r="J247" s="89">
        <f>J94*NAV!Q$26</f>
        <v>2001081.1590000002</v>
      </c>
      <c r="K247" s="89">
        <f>K94*NAV!R$26</f>
        <v>2041102.7821800003</v>
      </c>
    </row>
    <row r="248" spans="2:11" ht="14.4" customHeight="1" x14ac:dyDescent="0.3">
      <c r="B248" s="16" t="s">
        <v>235</v>
      </c>
      <c r="C248" s="44"/>
      <c r="D248" s="89"/>
      <c r="E248" s="89"/>
      <c r="F248" s="143" t="s">
        <v>162</v>
      </c>
      <c r="G248" s="89"/>
      <c r="H248" s="89">
        <f>H95*NAV!O$26</f>
        <v>1960503.3</v>
      </c>
      <c r="I248" s="89">
        <f>I95*NAV!P$26</f>
        <v>1884134.8574999999</v>
      </c>
      <c r="J248" s="89">
        <f>J95*NAV!Q$26</f>
        <v>2001081.1590000002</v>
      </c>
      <c r="K248" s="89">
        <f>K95*NAV!R$26</f>
        <v>2041102.7821800003</v>
      </c>
    </row>
    <row r="249" spans="2:11" ht="14.4" customHeight="1" x14ac:dyDescent="0.3">
      <c r="B249" s="16" t="s">
        <v>236</v>
      </c>
      <c r="C249" s="44"/>
      <c r="D249" s="89"/>
      <c r="E249" s="89"/>
      <c r="F249" s="143" t="s">
        <v>162</v>
      </c>
      <c r="G249" s="89"/>
      <c r="H249" s="89">
        <f>H96*NAV!O$26</f>
        <v>1960503.3</v>
      </c>
      <c r="I249" s="89">
        <f>I96*NAV!P$26</f>
        <v>1884134.8574999999</v>
      </c>
      <c r="J249" s="89">
        <f>J96*NAV!Q$26</f>
        <v>2001081.1590000002</v>
      </c>
      <c r="K249" s="89">
        <f>K96*NAV!R$26</f>
        <v>2041102.7821800003</v>
      </c>
    </row>
    <row r="250" spans="2:11" ht="14.4" customHeight="1" x14ac:dyDescent="0.3">
      <c r="B250" s="16" t="s">
        <v>163</v>
      </c>
      <c r="C250" s="44"/>
      <c r="D250" s="89"/>
      <c r="E250" s="89"/>
      <c r="F250" s="143" t="s">
        <v>162</v>
      </c>
      <c r="G250" s="89"/>
      <c r="H250" s="89">
        <f>H97*NAV!O$26</f>
        <v>1960503.3</v>
      </c>
      <c r="I250" s="89">
        <f>I97*NAV!P$26</f>
        <v>1884134.8574999999</v>
      </c>
      <c r="J250" s="89">
        <f>J97*NAV!Q$26</f>
        <v>2001081.1590000002</v>
      </c>
      <c r="K250" s="89">
        <f>K97*NAV!R$26</f>
        <v>2041102.7821800003</v>
      </c>
    </row>
    <row r="251" spans="2:11" ht="14.4" customHeight="1" x14ac:dyDescent="0.3">
      <c r="B251" s="16" t="s">
        <v>237</v>
      </c>
      <c r="C251" s="44"/>
      <c r="D251" s="89"/>
      <c r="E251" s="89"/>
      <c r="F251" s="143" t="s">
        <v>162</v>
      </c>
      <c r="G251" s="89"/>
      <c r="H251" s="89">
        <f>H98*NAV!O$26</f>
        <v>1960503.3</v>
      </c>
      <c r="I251" s="89">
        <f>I98*NAV!P$26</f>
        <v>1884134.8574999999</v>
      </c>
      <c r="J251" s="89">
        <f>J98*NAV!Q$26</f>
        <v>2001081.1590000002</v>
      </c>
      <c r="K251" s="89">
        <f>K98*NAV!R$26</f>
        <v>2041102.7821800003</v>
      </c>
    </row>
    <row r="252" spans="2:11" ht="14.4" customHeight="1" x14ac:dyDescent="0.3">
      <c r="B252" s="16" t="s">
        <v>238</v>
      </c>
      <c r="C252" s="44"/>
      <c r="D252" s="89"/>
      <c r="E252" s="89"/>
      <c r="F252" s="143" t="s">
        <v>162</v>
      </c>
      <c r="G252" s="89"/>
      <c r="H252" s="89">
        <f>H99*NAV!O$26</f>
        <v>1960503.3</v>
      </c>
      <c r="I252" s="89">
        <f>I99*NAV!P$26</f>
        <v>1884134.8574999999</v>
      </c>
      <c r="J252" s="89">
        <f>J99*NAV!Q$26</f>
        <v>2001081.1590000002</v>
      </c>
      <c r="K252" s="89">
        <f>K99*NAV!R$26</f>
        <v>2041102.7821800003</v>
      </c>
    </row>
    <row r="253" spans="2:11" ht="14.4" customHeight="1" x14ac:dyDescent="0.3">
      <c r="B253" s="16" t="s">
        <v>239</v>
      </c>
      <c r="C253" s="44"/>
      <c r="D253" s="89"/>
      <c r="E253" s="89"/>
      <c r="F253" s="143" t="s">
        <v>162</v>
      </c>
      <c r="G253" s="89"/>
      <c r="H253" s="89">
        <f>H100*NAV!O$26</f>
        <v>1960503.3</v>
      </c>
      <c r="I253" s="89">
        <f>I100*NAV!P$26</f>
        <v>1884134.8574999999</v>
      </c>
      <c r="J253" s="89">
        <f>J100*NAV!Q$26</f>
        <v>2001081.1590000002</v>
      </c>
      <c r="K253" s="89">
        <f>K100*NAV!R$26</f>
        <v>2041102.7821800003</v>
      </c>
    </row>
    <row r="254" spans="2:11" ht="14.4" customHeight="1" x14ac:dyDescent="0.3">
      <c r="B254" s="16" t="s">
        <v>240</v>
      </c>
      <c r="C254" s="44"/>
      <c r="D254" s="89"/>
      <c r="E254" s="89"/>
      <c r="F254" s="143" t="s">
        <v>162</v>
      </c>
      <c r="G254" s="89"/>
      <c r="H254" s="89">
        <f>H101*NAV!O$26</f>
        <v>1960503.3</v>
      </c>
      <c r="I254" s="89">
        <f>I101*NAV!P$26</f>
        <v>1884134.8574999999</v>
      </c>
      <c r="J254" s="89">
        <f>J101*NAV!Q$26</f>
        <v>2001081.1590000002</v>
      </c>
      <c r="K254" s="89">
        <f>K101*NAV!R$26</f>
        <v>2041102.7821800003</v>
      </c>
    </row>
    <row r="255" spans="2:11" ht="14.4" customHeight="1" x14ac:dyDescent="0.3">
      <c r="B255" s="16" t="s">
        <v>241</v>
      </c>
      <c r="C255" s="44"/>
      <c r="D255" s="89"/>
      <c r="E255" s="89"/>
      <c r="F255" s="143" t="s">
        <v>162</v>
      </c>
      <c r="G255" s="89"/>
      <c r="H255" s="89">
        <f>H102*NAV!O$26</f>
        <v>1960503.3</v>
      </c>
      <c r="I255" s="89">
        <f>I102*NAV!P$26</f>
        <v>1884134.8574999999</v>
      </c>
      <c r="J255" s="89">
        <f>J102*NAV!Q$26</f>
        <v>2001081.1590000002</v>
      </c>
      <c r="K255" s="89">
        <f>K102*NAV!R$26</f>
        <v>2041102.7821800003</v>
      </c>
    </row>
    <row r="256" spans="2:11" ht="14.4" customHeight="1" x14ac:dyDescent="0.3">
      <c r="B256" s="22" t="s">
        <v>243</v>
      </c>
      <c r="C256" s="44"/>
      <c r="D256" s="89"/>
      <c r="E256" s="89"/>
      <c r="F256" s="143" t="s">
        <v>162</v>
      </c>
      <c r="G256" s="89"/>
      <c r="H256" s="89">
        <f>H103*NAV!O$26</f>
        <v>1025844.75</v>
      </c>
      <c r="I256" s="89">
        <f>I103*NAV!P$26</f>
        <v>0</v>
      </c>
      <c r="J256" s="89">
        <f>J103*NAV!Q$26</f>
        <v>0</v>
      </c>
      <c r="K256" s="89">
        <f>K103*NAV!R$26</f>
        <v>0</v>
      </c>
    </row>
    <row r="257" spans="2:11" ht="14.4" customHeight="1" x14ac:dyDescent="0.3">
      <c r="B257" s="16" t="s">
        <v>244</v>
      </c>
      <c r="C257" s="44"/>
      <c r="D257" s="89"/>
      <c r="E257" s="89"/>
      <c r="F257" s="143" t="s">
        <v>162</v>
      </c>
      <c r="G257" s="89"/>
      <c r="H257" s="89">
        <f>H104*NAV!O$26</f>
        <v>1960503.3</v>
      </c>
      <c r="I257" s="89">
        <f>I104*NAV!P$26</f>
        <v>1884134.8574999999</v>
      </c>
      <c r="J257" s="89">
        <f>J104*NAV!Q$26</f>
        <v>2001081.1590000002</v>
      </c>
      <c r="K257" s="89">
        <f>K104*NAV!R$26</f>
        <v>2041102.7821800003</v>
      </c>
    </row>
    <row r="258" spans="2:11" ht="14.4" customHeight="1" x14ac:dyDescent="0.3">
      <c r="B258" s="16" t="s">
        <v>245</v>
      </c>
      <c r="C258" s="44"/>
      <c r="D258" s="89"/>
      <c r="E258" s="89"/>
      <c r="F258" s="143" t="s">
        <v>162</v>
      </c>
      <c r="G258" s="89"/>
      <c r="H258" s="89">
        <f>H105*NAV!O$26</f>
        <v>1960503.3</v>
      </c>
      <c r="I258" s="89">
        <f>I105*NAV!P$26</f>
        <v>1884134.8574999999</v>
      </c>
      <c r="J258" s="89">
        <f>J105*NAV!Q$26</f>
        <v>2001081.1590000002</v>
      </c>
      <c r="K258" s="89">
        <f>K105*NAV!R$26</f>
        <v>2041102.7821800003</v>
      </c>
    </row>
    <row r="259" spans="2:11" ht="14.4" customHeight="1" x14ac:dyDescent="0.3">
      <c r="B259" s="16" t="s">
        <v>246</v>
      </c>
      <c r="C259" s="44"/>
      <c r="D259" s="89"/>
      <c r="E259" s="89"/>
      <c r="F259" s="143" t="s">
        <v>162</v>
      </c>
      <c r="G259" s="89"/>
      <c r="H259" s="89">
        <f>H106*NAV!O$26</f>
        <v>1960503.3</v>
      </c>
      <c r="I259" s="89">
        <f>I106*NAV!P$26</f>
        <v>1884134.8574999999</v>
      </c>
      <c r="J259" s="89">
        <f>J106*NAV!Q$26</f>
        <v>2001081.1590000002</v>
      </c>
      <c r="K259" s="89">
        <f>K106*NAV!R$26</f>
        <v>2041102.7821800003</v>
      </c>
    </row>
    <row r="260" spans="2:11" ht="14.4" customHeight="1" x14ac:dyDescent="0.3">
      <c r="B260" s="16" t="s">
        <v>247</v>
      </c>
      <c r="C260" s="44"/>
      <c r="D260" s="89"/>
      <c r="E260" s="118"/>
      <c r="F260" s="143" t="s">
        <v>162</v>
      </c>
      <c r="G260" s="89"/>
      <c r="H260" s="89">
        <f>H107*NAV!O$26</f>
        <v>1960503.3</v>
      </c>
      <c r="I260" s="89">
        <f>I107*NAV!P$26</f>
        <v>1884134.8574999999</v>
      </c>
      <c r="J260" s="89">
        <f>J107*NAV!Q$26</f>
        <v>2001081.1590000002</v>
      </c>
      <c r="K260" s="89">
        <f>K107*NAV!R$26</f>
        <v>2041102.7821800003</v>
      </c>
    </row>
    <row r="261" spans="2:11" ht="14.4" customHeight="1" x14ac:dyDescent="0.3">
      <c r="B261" s="16" t="s">
        <v>248</v>
      </c>
      <c r="C261" s="44"/>
      <c r="D261" s="89"/>
      <c r="E261" s="118"/>
      <c r="F261" s="143" t="s">
        <v>162</v>
      </c>
      <c r="G261" s="89"/>
      <c r="H261" s="89">
        <f>H108*NAV!O$26</f>
        <v>1960503.3</v>
      </c>
      <c r="I261" s="89">
        <f>I108*NAV!P$26</f>
        <v>1884134.8574999999</v>
      </c>
      <c r="J261" s="89">
        <f>J108*NAV!Q$26</f>
        <v>2001081.1590000002</v>
      </c>
      <c r="K261" s="89">
        <f>K108*NAV!R$26</f>
        <v>2041102.7821800003</v>
      </c>
    </row>
    <row r="262" spans="2:11" ht="14.4" customHeight="1" x14ac:dyDescent="0.3">
      <c r="B262" s="16" t="s">
        <v>249</v>
      </c>
      <c r="C262" s="44"/>
      <c r="D262" s="89"/>
      <c r="E262" s="118"/>
      <c r="F262" s="143" t="s">
        <v>162</v>
      </c>
      <c r="G262" s="89"/>
      <c r="H262" s="89">
        <f>H109*NAV!O$26</f>
        <v>1960503.3</v>
      </c>
      <c r="I262" s="89">
        <f>I109*NAV!P$26</f>
        <v>1884134.8574999999</v>
      </c>
      <c r="J262" s="89">
        <f>J109*NAV!Q$26</f>
        <v>2001081.1590000002</v>
      </c>
      <c r="K262" s="89">
        <f>K109*NAV!R$26</f>
        <v>2041102.7821800003</v>
      </c>
    </row>
    <row r="263" spans="2:11" ht="14.4" customHeight="1" x14ac:dyDescent="0.3">
      <c r="B263" s="16" t="s">
        <v>250</v>
      </c>
      <c r="C263" s="44"/>
      <c r="D263" s="89"/>
      <c r="E263" s="89"/>
      <c r="F263" s="143" t="s">
        <v>162</v>
      </c>
      <c r="G263" s="89"/>
      <c r="H263" s="89">
        <f>H110*NAV!O$26</f>
        <v>1960503.3</v>
      </c>
      <c r="I263" s="89">
        <f>I110*NAV!P$26</f>
        <v>1884134.8574999999</v>
      </c>
      <c r="J263" s="89">
        <f>J110*NAV!Q$26</f>
        <v>2001081.1590000002</v>
      </c>
      <c r="K263" s="89">
        <f>K110*NAV!R$26</f>
        <v>2041102.7821800003</v>
      </c>
    </row>
    <row r="264" spans="2:11" ht="14.4" customHeight="1" x14ac:dyDescent="0.3">
      <c r="B264" s="16" t="s">
        <v>255</v>
      </c>
      <c r="C264" s="44"/>
      <c r="D264" s="89"/>
      <c r="E264" s="89"/>
      <c r="F264" s="143" t="s">
        <v>162</v>
      </c>
      <c r="G264" s="89"/>
      <c r="H264" s="89">
        <f>H111*NAV!O$26</f>
        <v>1960503.3</v>
      </c>
      <c r="I264" s="89">
        <f>I111*NAV!P$26</f>
        <v>1884134.8574999999</v>
      </c>
      <c r="J264" s="89">
        <f>J111*NAV!Q$26</f>
        <v>2001081.1590000002</v>
      </c>
      <c r="K264" s="89">
        <f>K111*NAV!R$26</f>
        <v>2041102.7821800003</v>
      </c>
    </row>
    <row r="265" spans="2:11" ht="14.4" customHeight="1" x14ac:dyDescent="0.3">
      <c r="B265" s="16" t="s">
        <v>256</v>
      </c>
      <c r="C265" s="44"/>
      <c r="D265" s="89"/>
      <c r="E265" s="89"/>
      <c r="F265" s="143" t="s">
        <v>162</v>
      </c>
      <c r="G265" s="89"/>
      <c r="H265" s="89">
        <f>H112*NAV!O$26</f>
        <v>1960503.3</v>
      </c>
      <c r="I265" s="89">
        <f>I112*NAV!P$26</f>
        <v>1884134.8574999999</v>
      </c>
      <c r="J265" s="89">
        <f>J112*NAV!Q$26</f>
        <v>2001081.1590000002</v>
      </c>
      <c r="K265" s="89">
        <f>K112*NAV!R$26</f>
        <v>2041102.7821800003</v>
      </c>
    </row>
    <row r="266" spans="2:11" ht="14.4" customHeight="1" x14ac:dyDescent="0.3">
      <c r="B266" s="16" t="s">
        <v>257</v>
      </c>
      <c r="C266" s="44"/>
      <c r="D266" s="89"/>
      <c r="E266" s="89"/>
      <c r="F266" s="143" t="s">
        <v>162</v>
      </c>
      <c r="G266" s="89"/>
      <c r="H266" s="89">
        <f>H113*NAV!O$26</f>
        <v>1960503.3</v>
      </c>
      <c r="I266" s="89">
        <f>I113*NAV!P$26</f>
        <v>1884134.8574999999</v>
      </c>
      <c r="J266" s="89">
        <f>J113*NAV!Q$26</f>
        <v>2001081.1590000002</v>
      </c>
      <c r="K266" s="89">
        <f>K113*NAV!R$26</f>
        <v>2041102.7821800003</v>
      </c>
    </row>
    <row r="267" spans="2:11" ht="14.4" customHeight="1" x14ac:dyDescent="0.3">
      <c r="B267" s="16" t="s">
        <v>258</v>
      </c>
      <c r="C267" s="44"/>
      <c r="D267" s="89"/>
      <c r="E267" s="89"/>
      <c r="F267" s="143" t="s">
        <v>162</v>
      </c>
      <c r="G267" s="89"/>
      <c r="H267" s="89">
        <f>H114*NAV!O$26</f>
        <v>1960503.3</v>
      </c>
      <c r="I267" s="89">
        <f>I114*NAV!P$26</f>
        <v>1884134.8574999999</v>
      </c>
      <c r="J267" s="89">
        <f>J114*NAV!Q$26</f>
        <v>2001081.1590000002</v>
      </c>
      <c r="K267" s="89">
        <f>K114*NAV!R$26</f>
        <v>2041102.7821800003</v>
      </c>
    </row>
    <row r="268" spans="2:11" ht="14.4" customHeight="1" x14ac:dyDescent="0.3">
      <c r="B268" s="16" t="s">
        <v>259</v>
      </c>
      <c r="C268" s="44"/>
      <c r="D268" s="89"/>
      <c r="E268" s="89"/>
      <c r="F268" s="143" t="s">
        <v>162</v>
      </c>
      <c r="G268" s="89"/>
      <c r="H268" s="89">
        <f>H115*NAV!O$26</f>
        <v>1960503.3</v>
      </c>
      <c r="I268" s="89">
        <f>I115*NAV!P$26</f>
        <v>1884134.8574999999</v>
      </c>
      <c r="J268" s="89">
        <f>J115*NAV!Q$26</f>
        <v>2001081.1590000002</v>
      </c>
      <c r="K268" s="89">
        <f>K115*NAV!R$26</f>
        <v>2041102.7821800003</v>
      </c>
    </row>
    <row r="269" spans="2:11" ht="14.4" customHeight="1" x14ac:dyDescent="0.3">
      <c r="B269" s="16" t="s">
        <v>164</v>
      </c>
      <c r="C269" s="44"/>
      <c r="D269" s="89"/>
      <c r="E269" s="89"/>
      <c r="F269" s="143" t="s">
        <v>162</v>
      </c>
      <c r="G269" s="89"/>
      <c r="H269" s="89">
        <f>H116*NAV!O$26</f>
        <v>1960503.3</v>
      </c>
      <c r="I269" s="89">
        <f>I116*NAV!P$26</f>
        <v>1884134.8574999999</v>
      </c>
      <c r="J269" s="89">
        <f>J116*NAV!Q$26</f>
        <v>2001081.1590000002</v>
      </c>
      <c r="K269" s="89">
        <f>K116*NAV!R$26</f>
        <v>2041102.7821800003</v>
      </c>
    </row>
    <row r="270" spans="2:11" ht="14.4" customHeight="1" x14ac:dyDescent="0.3">
      <c r="B270" s="16" t="s">
        <v>260</v>
      </c>
      <c r="C270" s="44"/>
      <c r="D270" s="89"/>
      <c r="E270" s="89"/>
      <c r="F270" s="143" t="s">
        <v>162</v>
      </c>
      <c r="G270" s="89"/>
      <c r="H270" s="89">
        <f>H117*NAV!O$26</f>
        <v>1960503.3</v>
      </c>
      <c r="I270" s="89">
        <f>I117*NAV!P$26</f>
        <v>1884134.8574999999</v>
      </c>
      <c r="J270" s="89">
        <f>J117*NAV!Q$26</f>
        <v>2001081.1590000002</v>
      </c>
      <c r="K270" s="89">
        <f>K117*NAV!R$26</f>
        <v>2041102.7821800003</v>
      </c>
    </row>
    <row r="271" spans="2:11" ht="14.4" customHeight="1" x14ac:dyDescent="0.3">
      <c r="B271" s="16" t="s">
        <v>261</v>
      </c>
      <c r="C271" s="44"/>
      <c r="D271" s="89"/>
      <c r="E271" s="89"/>
      <c r="F271" s="143" t="s">
        <v>162</v>
      </c>
      <c r="G271" s="89"/>
      <c r="H271" s="89">
        <f>H118*NAV!O$26</f>
        <v>1960503.3</v>
      </c>
      <c r="I271" s="89">
        <f>I118*NAV!P$26</f>
        <v>1884134.8574999999</v>
      </c>
      <c r="J271" s="89">
        <f>J118*NAV!Q$26</f>
        <v>2001081.1590000002</v>
      </c>
      <c r="K271" s="89">
        <f>K118*NAV!R$26</f>
        <v>2041102.7821800003</v>
      </c>
    </row>
    <row r="272" spans="2:11" ht="14.4" customHeight="1" x14ac:dyDescent="0.3">
      <c r="B272" s="16" t="s">
        <v>262</v>
      </c>
      <c r="C272" s="44"/>
      <c r="D272" s="89"/>
      <c r="E272" s="89"/>
      <c r="F272" s="143" t="s">
        <v>162</v>
      </c>
      <c r="G272" s="89"/>
      <c r="H272" s="89">
        <f>H119*NAV!O$26</f>
        <v>1960503.3</v>
      </c>
      <c r="I272" s="89">
        <f>I119*NAV!P$26</f>
        <v>1884134.8574999999</v>
      </c>
      <c r="J272" s="89">
        <f>J119*NAV!Q$26</f>
        <v>2001081.1590000002</v>
      </c>
      <c r="K272" s="89">
        <f>K119*NAV!R$26</f>
        <v>2041102.7821800003</v>
      </c>
    </row>
    <row r="273" spans="2:11" ht="14.4" customHeight="1" x14ac:dyDescent="0.3">
      <c r="B273" s="16" t="s">
        <v>263</v>
      </c>
      <c r="C273" s="44"/>
      <c r="D273" s="89"/>
      <c r="E273" s="89"/>
      <c r="F273" s="143" t="s">
        <v>162</v>
      </c>
      <c r="G273" s="89"/>
      <c r="H273" s="89">
        <f>H120*NAV!O$26</f>
        <v>1960503.3</v>
      </c>
      <c r="I273" s="89">
        <f>I120*NAV!P$26</f>
        <v>1884134.8574999999</v>
      </c>
      <c r="J273" s="89">
        <f>J120*NAV!Q$26</f>
        <v>2001081.1590000002</v>
      </c>
      <c r="K273" s="89">
        <f>K120*NAV!R$26</f>
        <v>2041102.7821800003</v>
      </c>
    </row>
    <row r="274" spans="2:11" ht="14.4" customHeight="1" x14ac:dyDescent="0.3">
      <c r="B274" s="16" t="s">
        <v>264</v>
      </c>
      <c r="C274" s="44"/>
      <c r="D274" s="89"/>
      <c r="E274" s="89"/>
      <c r="F274" s="143" t="s">
        <v>162</v>
      </c>
      <c r="G274" s="89"/>
      <c r="H274" s="89">
        <f>H121*NAV!O$26</f>
        <v>1960503.3</v>
      </c>
      <c r="I274" s="89">
        <f>I121*NAV!P$26</f>
        <v>1884134.8574999999</v>
      </c>
      <c r="J274" s="89">
        <f>J121*NAV!Q$26</f>
        <v>2001081.1590000002</v>
      </c>
      <c r="K274" s="89">
        <f>K121*NAV!R$26</f>
        <v>2041102.7821800003</v>
      </c>
    </row>
    <row r="275" spans="2:11" ht="14.4" customHeight="1" x14ac:dyDescent="0.3">
      <c r="B275" s="16" t="s">
        <v>267</v>
      </c>
      <c r="C275" s="44"/>
      <c r="D275" s="89"/>
      <c r="E275" s="89"/>
      <c r="F275" s="143" t="s">
        <v>162</v>
      </c>
      <c r="G275" s="89"/>
      <c r="H275" s="89">
        <f>H122*NAV!O$26</f>
        <v>1960503.3</v>
      </c>
      <c r="I275" s="89">
        <f>I122*NAV!P$26</f>
        <v>1884134.8574999999</v>
      </c>
      <c r="J275" s="89">
        <f>J122*NAV!Q$26</f>
        <v>2001081.1590000002</v>
      </c>
      <c r="K275" s="89">
        <f>K122*NAV!R$26</f>
        <v>2041102.7821800003</v>
      </c>
    </row>
    <row r="276" spans="2:11" ht="14.4" customHeight="1" x14ac:dyDescent="0.3">
      <c r="B276" s="16" t="s">
        <v>268</v>
      </c>
      <c r="C276" s="44"/>
      <c r="D276" s="89"/>
      <c r="E276" s="89"/>
      <c r="F276" s="143" t="s">
        <v>162</v>
      </c>
      <c r="G276" s="89"/>
      <c r="H276" s="89">
        <f>H123*NAV!O$26</f>
        <v>1960503.3</v>
      </c>
      <c r="I276" s="89">
        <f>I123*NAV!P$26</f>
        <v>1884134.8574999999</v>
      </c>
      <c r="J276" s="89">
        <f>J123*NAV!Q$26</f>
        <v>2001081.1590000002</v>
      </c>
      <c r="K276" s="89">
        <f>K123*NAV!R$26</f>
        <v>2041102.7821800003</v>
      </c>
    </row>
    <row r="277" spans="2:11" ht="14.4" customHeight="1" x14ac:dyDescent="0.3">
      <c r="B277" s="16" t="s">
        <v>269</v>
      </c>
      <c r="C277" s="44"/>
      <c r="D277" s="89"/>
      <c r="E277" s="89"/>
      <c r="F277" s="143" t="s">
        <v>162</v>
      </c>
      <c r="G277" s="89"/>
      <c r="H277" s="89">
        <f>H124*NAV!O$26</f>
        <v>1960503.3</v>
      </c>
      <c r="I277" s="89">
        <f>I124*NAV!P$26</f>
        <v>1884134.8574999999</v>
      </c>
      <c r="J277" s="89">
        <f>J124*NAV!Q$26</f>
        <v>2001081.1590000002</v>
      </c>
      <c r="K277" s="89">
        <f>K124*NAV!R$26</f>
        <v>2041102.7821800003</v>
      </c>
    </row>
    <row r="278" spans="2:11" ht="14.4" customHeight="1" x14ac:dyDescent="0.3">
      <c r="B278" s="16" t="s">
        <v>270</v>
      </c>
      <c r="C278" s="44"/>
      <c r="D278" s="89"/>
      <c r="E278" s="89"/>
      <c r="F278" s="143" t="s">
        <v>162</v>
      </c>
      <c r="G278" s="89"/>
      <c r="H278" s="89">
        <f>H125*NAV!O$26</f>
        <v>1960503.3</v>
      </c>
      <c r="I278" s="89">
        <f>I125*NAV!P$26</f>
        <v>1884134.8574999999</v>
      </c>
      <c r="J278" s="89">
        <f>J125*NAV!Q$26</f>
        <v>2001081.1590000002</v>
      </c>
      <c r="K278" s="89">
        <f>K125*NAV!R$26</f>
        <v>2041102.7821800003</v>
      </c>
    </row>
    <row r="279" spans="2:11" ht="14.4" customHeight="1" x14ac:dyDescent="0.3">
      <c r="B279" s="16" t="s">
        <v>271</v>
      </c>
      <c r="C279" s="44"/>
      <c r="D279" s="89"/>
      <c r="E279" s="89"/>
      <c r="F279" s="143" t="s">
        <v>162</v>
      </c>
      <c r="G279" s="89"/>
      <c r="H279" s="89">
        <f>H126*NAV!O$26</f>
        <v>1960503.3</v>
      </c>
      <c r="I279" s="89">
        <f>I126*NAV!P$26</f>
        <v>1884134.8574999999</v>
      </c>
      <c r="J279" s="89">
        <f>J126*NAV!Q$26</f>
        <v>2001081.1590000002</v>
      </c>
      <c r="K279" s="89">
        <f>K126*NAV!R$26</f>
        <v>2041102.7821800003</v>
      </c>
    </row>
    <row r="280" spans="2:11" ht="14.4" customHeight="1" x14ac:dyDescent="0.3">
      <c r="B280" s="158" t="s">
        <v>165</v>
      </c>
      <c r="C280" s="44"/>
      <c r="D280" s="89"/>
      <c r="E280" s="89"/>
      <c r="F280" s="159" t="s">
        <v>162</v>
      </c>
      <c r="G280" s="89"/>
      <c r="H280" s="89">
        <f>H127*NAV!O$26</f>
        <v>1960503.3</v>
      </c>
      <c r="I280" s="89">
        <f>I127*NAV!P$26</f>
        <v>1884134.8574999999</v>
      </c>
      <c r="J280" s="89">
        <f>J127*NAV!Q$26</f>
        <v>2001081.1590000002</v>
      </c>
      <c r="K280" s="89">
        <f>K127*NAV!R$26</f>
        <v>2041102.7821800003</v>
      </c>
    </row>
    <row r="281" spans="2:11" ht="14.4" customHeight="1" x14ac:dyDescent="0.3">
      <c r="B281" s="158" t="s">
        <v>166</v>
      </c>
      <c r="C281" s="44"/>
      <c r="D281" s="89"/>
      <c r="E281" s="89"/>
      <c r="F281" s="159" t="s">
        <v>162</v>
      </c>
      <c r="G281" s="89"/>
      <c r="H281" s="89">
        <f>H128*NAV!O$26</f>
        <v>1960503.3</v>
      </c>
      <c r="I281" s="89">
        <f>I128*NAV!P$26</f>
        <v>1884134.8574999999</v>
      </c>
      <c r="J281" s="89">
        <f>J128*NAV!Q$26</f>
        <v>2001081.1590000002</v>
      </c>
      <c r="K281" s="89">
        <f>K128*NAV!R$26</f>
        <v>2041102.7821800003</v>
      </c>
    </row>
    <row r="282" spans="2:11" ht="14.4" customHeight="1" x14ac:dyDescent="0.3">
      <c r="B282" s="158" t="s">
        <v>167</v>
      </c>
      <c r="C282" s="44"/>
      <c r="D282" s="89"/>
      <c r="E282" s="89"/>
      <c r="F282" s="159" t="s">
        <v>162</v>
      </c>
      <c r="G282" s="89"/>
      <c r="H282" s="89">
        <f>H129*NAV!O$26</f>
        <v>1960503.3</v>
      </c>
      <c r="I282" s="89">
        <f>I129*NAV!P$26</f>
        <v>1884134.8574999999</v>
      </c>
      <c r="J282" s="89">
        <f>J129*NAV!Q$26</f>
        <v>2001081.1590000002</v>
      </c>
      <c r="K282" s="89">
        <f>K129*NAV!R$26</f>
        <v>2041102.7821800003</v>
      </c>
    </row>
    <row r="283" spans="2:11" ht="14.4" customHeight="1" x14ac:dyDescent="0.3">
      <c r="B283" s="158" t="s">
        <v>168</v>
      </c>
      <c r="C283" s="44"/>
      <c r="D283" s="89"/>
      <c r="E283" s="89"/>
      <c r="F283" s="159" t="s">
        <v>162</v>
      </c>
      <c r="G283" s="89"/>
      <c r="H283" s="89">
        <f>H130*NAV!O$26</f>
        <v>1960503.3</v>
      </c>
      <c r="I283" s="89">
        <f>I130*NAV!P$26</f>
        <v>1884134.8574999999</v>
      </c>
      <c r="J283" s="89">
        <f>J130*NAV!Q$26</f>
        <v>2001081.1590000002</v>
      </c>
      <c r="K283" s="89">
        <f>K130*NAV!R$26</f>
        <v>2041102.7821800003</v>
      </c>
    </row>
    <row r="284" spans="2:11" ht="14.4" customHeight="1" x14ac:dyDescent="0.3">
      <c r="B284" s="16" t="s">
        <v>251</v>
      </c>
      <c r="C284" s="44"/>
      <c r="D284" s="89"/>
      <c r="E284" s="89"/>
      <c r="F284" s="44" t="s">
        <v>162</v>
      </c>
      <c r="G284" s="89"/>
      <c r="H284" s="89">
        <f>H131*NAV!O$26</f>
        <v>2051689.5</v>
      </c>
      <c r="I284" s="89">
        <f>I131*NAV!P$26</f>
        <v>1949105.0249999999</v>
      </c>
      <c r="J284" s="89">
        <f>J131*NAV!Q$26</f>
        <v>2046560.2762500001</v>
      </c>
      <c r="K284" s="89">
        <f>K131*NAV!R$26</f>
        <v>2087491.4817750002</v>
      </c>
    </row>
    <row r="285" spans="2:11" ht="14.4" customHeight="1" x14ac:dyDescent="0.3">
      <c r="B285" s="16" t="s">
        <v>468</v>
      </c>
      <c r="C285" s="44"/>
      <c r="D285" s="89"/>
      <c r="E285" s="89"/>
      <c r="F285" s="44" t="s">
        <v>162</v>
      </c>
      <c r="G285" s="89"/>
      <c r="H285" s="89">
        <f>H132*NAV!O$26</f>
        <v>2051689.5</v>
      </c>
      <c r="I285" s="89">
        <f>I132*NAV!P$26</f>
        <v>1949105.0249999999</v>
      </c>
      <c r="J285" s="89">
        <f>J132*NAV!Q$26</f>
        <v>2046560.2762500001</v>
      </c>
      <c r="K285" s="89">
        <f>K132*NAV!R$26</f>
        <v>2087491.4817750002</v>
      </c>
    </row>
    <row r="286" spans="2:11" ht="14.4" customHeight="1" x14ac:dyDescent="0.3">
      <c r="B286" s="16" t="s">
        <v>469</v>
      </c>
      <c r="C286" s="44"/>
      <c r="D286" s="89"/>
      <c r="E286" s="118"/>
      <c r="F286" s="44" t="s">
        <v>162</v>
      </c>
      <c r="G286" s="89"/>
      <c r="H286" s="89">
        <f>H133*NAV!O$26</f>
        <v>2051689.5</v>
      </c>
      <c r="I286" s="89">
        <f>I133*NAV!P$26</f>
        <v>1949105.0249999999</v>
      </c>
      <c r="J286" s="89">
        <f>J133*NAV!Q$26</f>
        <v>2046560.2762500001</v>
      </c>
      <c r="K286" s="89">
        <f>K133*NAV!R$26</f>
        <v>2087491.4817750002</v>
      </c>
    </row>
    <row r="287" spans="2:11" ht="14.4" customHeight="1" x14ac:dyDescent="0.3">
      <c r="B287" s="36" t="s">
        <v>332</v>
      </c>
      <c r="C287" s="44"/>
      <c r="D287" s="89"/>
      <c r="E287" s="89"/>
      <c r="F287" s="160" t="s">
        <v>162</v>
      </c>
      <c r="G287" s="89"/>
      <c r="H287" s="89">
        <f>H134*NAV!O$26</f>
        <v>1367793</v>
      </c>
      <c r="I287" s="89">
        <f>I134*NAV!P$26</f>
        <v>1949105.0249999999</v>
      </c>
      <c r="J287" s="89">
        <f>J134*NAV!Q$26</f>
        <v>2046560.2762500001</v>
      </c>
      <c r="K287" s="89">
        <f>K134*NAV!R$26</f>
        <v>2087491.4817750002</v>
      </c>
    </row>
    <row r="288" spans="2:11" ht="14.4" customHeight="1" x14ac:dyDescent="0.3">
      <c r="B288" s="36" t="s">
        <v>333</v>
      </c>
      <c r="C288" s="44"/>
      <c r="D288" s="89"/>
      <c r="E288" s="89"/>
      <c r="F288" s="160" t="s">
        <v>162</v>
      </c>
      <c r="G288" s="89"/>
      <c r="H288" s="89">
        <f>H135*NAV!O$26</f>
        <v>683896.5</v>
      </c>
      <c r="I288" s="89">
        <f>I135*NAV!P$26</f>
        <v>1949105.0249999999</v>
      </c>
      <c r="J288" s="89">
        <f>J135*NAV!Q$26</f>
        <v>2046560.2762500001</v>
      </c>
      <c r="K288" s="89">
        <f>K135*NAV!R$26</f>
        <v>2087491.4817750002</v>
      </c>
    </row>
    <row r="289" spans="2:11" ht="14.4" customHeight="1" x14ac:dyDescent="0.3">
      <c r="B289" s="36" t="s">
        <v>334</v>
      </c>
      <c r="C289" s="44"/>
      <c r="D289" s="89"/>
      <c r="E289" s="89"/>
      <c r="F289" s="160" t="s">
        <v>162</v>
      </c>
      <c r="G289" s="89"/>
      <c r="H289" s="89">
        <f>H136*NAV!O$26</f>
        <v>0</v>
      </c>
      <c r="I289" s="89">
        <f>I136*NAV!P$26</f>
        <v>1299403.3500000001</v>
      </c>
      <c r="J289" s="89">
        <f>J136*NAV!Q$26</f>
        <v>2046560.2762500001</v>
      </c>
      <c r="K289" s="89">
        <f>K136*NAV!R$26</f>
        <v>2087491.4817750002</v>
      </c>
    </row>
    <row r="290" spans="2:11" ht="14.4" customHeight="1" x14ac:dyDescent="0.3">
      <c r="B290" s="36" t="s">
        <v>335</v>
      </c>
      <c r="C290" s="44"/>
      <c r="D290" s="89"/>
      <c r="E290" s="89"/>
      <c r="F290" s="160" t="s">
        <v>162</v>
      </c>
      <c r="G290" s="89"/>
      <c r="H290" s="89">
        <f>H137*NAV!O$26</f>
        <v>0</v>
      </c>
      <c r="I290" s="89">
        <f>I137*NAV!P$26</f>
        <v>974552.51249999995</v>
      </c>
      <c r="J290" s="89">
        <f>J137*NAV!Q$26</f>
        <v>2046560.2762500001</v>
      </c>
      <c r="K290" s="89">
        <f>K137*NAV!R$26</f>
        <v>2087491.4817750002</v>
      </c>
    </row>
    <row r="291" spans="2:11" ht="14.4" customHeight="1" x14ac:dyDescent="0.3">
      <c r="B291" s="36" t="s">
        <v>336</v>
      </c>
      <c r="C291" s="44"/>
      <c r="D291" s="89"/>
      <c r="E291" s="89"/>
      <c r="F291" s="160" t="s">
        <v>162</v>
      </c>
      <c r="G291" s="89"/>
      <c r="H291" s="89">
        <f>H138*NAV!O$26</f>
        <v>0</v>
      </c>
      <c r="I291" s="89">
        <f>I138*NAV!P$26</f>
        <v>649701.67500000005</v>
      </c>
      <c r="J291" s="89">
        <f>J138*NAV!Q$26</f>
        <v>2046560.2762500001</v>
      </c>
      <c r="K291" s="89">
        <f>K138*NAV!R$26</f>
        <v>2087491.4817750002</v>
      </c>
    </row>
    <row r="292" spans="2:11" ht="14.4" customHeight="1" x14ac:dyDescent="0.3">
      <c r="B292" s="16" t="s">
        <v>290</v>
      </c>
      <c r="C292" s="44"/>
      <c r="D292" s="89"/>
      <c r="E292" s="89"/>
      <c r="F292" s="143" t="s">
        <v>169</v>
      </c>
      <c r="G292" s="89"/>
      <c r="H292" s="89">
        <f>H139*NAV!O$27</f>
        <v>1783244.4000000001</v>
      </c>
      <c r="I292" s="89">
        <f>I139*NAV!P$27</f>
        <v>1713780.81</v>
      </c>
      <c r="J292" s="89">
        <f>J139*NAV!Q$27</f>
        <v>1820153.4120000002</v>
      </c>
      <c r="K292" s="89">
        <f>K139*NAV!R$27</f>
        <v>1856556.4802400004</v>
      </c>
    </row>
    <row r="293" spans="2:11" ht="14.4" customHeight="1" x14ac:dyDescent="0.3">
      <c r="B293" s="16" t="s">
        <v>170</v>
      </c>
      <c r="C293" s="44"/>
      <c r="D293" s="89"/>
      <c r="E293" s="89"/>
      <c r="F293" s="143" t="s">
        <v>169</v>
      </c>
      <c r="G293" s="89"/>
      <c r="H293" s="89">
        <f>H140*NAV!O$27</f>
        <v>1783244.4000000001</v>
      </c>
      <c r="I293" s="89">
        <f>I140*NAV!P$27</f>
        <v>1713780.81</v>
      </c>
      <c r="J293" s="89">
        <f>J140*NAV!Q$27</f>
        <v>1820153.4120000002</v>
      </c>
      <c r="K293" s="89">
        <f>K140*NAV!R$27</f>
        <v>1856556.4802400004</v>
      </c>
    </row>
    <row r="294" spans="2:11" ht="14.4" customHeight="1" x14ac:dyDescent="0.3">
      <c r="B294" s="16" t="s">
        <v>171</v>
      </c>
      <c r="C294" s="44"/>
      <c r="D294" s="89"/>
      <c r="E294" s="89"/>
      <c r="F294" s="143" t="s">
        <v>169</v>
      </c>
      <c r="G294" s="89"/>
      <c r="H294" s="89">
        <f>H141*NAV!O$27</f>
        <v>1783244.4000000001</v>
      </c>
      <c r="I294" s="89">
        <f>I141*NAV!P$27</f>
        <v>1713780.81</v>
      </c>
      <c r="J294" s="89">
        <f>J141*NAV!Q$27</f>
        <v>1820153.4120000002</v>
      </c>
      <c r="K294" s="89">
        <f>K141*NAV!R$27</f>
        <v>1856556.4802400004</v>
      </c>
    </row>
    <row r="295" spans="2:11" ht="14.4" customHeight="1" x14ac:dyDescent="0.3">
      <c r="B295" s="16" t="s">
        <v>172</v>
      </c>
      <c r="C295" s="44"/>
      <c r="D295" s="89"/>
      <c r="E295" s="89"/>
      <c r="F295" s="143" t="s">
        <v>169</v>
      </c>
      <c r="G295" s="89"/>
      <c r="H295" s="89">
        <f>H142*NAV!O$27</f>
        <v>1783244.4000000001</v>
      </c>
      <c r="I295" s="89">
        <f>I142*NAV!P$27</f>
        <v>1713780.81</v>
      </c>
      <c r="J295" s="89">
        <f>J142*NAV!Q$27</f>
        <v>1820153.4120000002</v>
      </c>
      <c r="K295" s="89">
        <f>K142*NAV!R$27</f>
        <v>1856556.4802400004</v>
      </c>
    </row>
    <row r="296" spans="2:11" ht="14.4" customHeight="1" x14ac:dyDescent="0.3">
      <c r="B296" s="16" t="s">
        <v>173</v>
      </c>
      <c r="C296" s="44"/>
      <c r="D296" s="89"/>
      <c r="E296" s="89"/>
      <c r="F296" s="143" t="s">
        <v>169</v>
      </c>
      <c r="G296" s="89"/>
      <c r="H296" s="89">
        <f>H143*NAV!O$27</f>
        <v>1783244.4000000001</v>
      </c>
      <c r="I296" s="89">
        <f>I143*NAV!P$27</f>
        <v>1713780.81</v>
      </c>
      <c r="J296" s="89">
        <f>J143*NAV!Q$27</f>
        <v>1820153.4120000002</v>
      </c>
      <c r="K296" s="89">
        <f>K143*NAV!R$27</f>
        <v>1856556.4802400004</v>
      </c>
    </row>
    <row r="297" spans="2:11" ht="14.4" customHeight="1" x14ac:dyDescent="0.3">
      <c r="B297" s="16" t="s">
        <v>174</v>
      </c>
      <c r="C297" s="44"/>
      <c r="D297" s="89"/>
      <c r="E297" s="89"/>
      <c r="F297" s="143" t="s">
        <v>169</v>
      </c>
      <c r="G297" s="89"/>
      <c r="H297" s="89">
        <f>H144*NAV!O$27</f>
        <v>1783244.4000000001</v>
      </c>
      <c r="I297" s="89">
        <f>I144*NAV!P$27</f>
        <v>1713780.81</v>
      </c>
      <c r="J297" s="89">
        <f>J144*NAV!Q$27</f>
        <v>1820153.4120000002</v>
      </c>
      <c r="K297" s="89">
        <f>K144*NAV!R$27</f>
        <v>1856556.4802400004</v>
      </c>
    </row>
    <row r="298" spans="2:11" ht="14.4" customHeight="1" x14ac:dyDescent="0.3">
      <c r="B298" s="16" t="s">
        <v>307</v>
      </c>
      <c r="C298" s="44"/>
      <c r="D298" s="89"/>
      <c r="E298" s="89"/>
      <c r="F298" s="143" t="s">
        <v>169</v>
      </c>
      <c r="G298" s="89"/>
      <c r="H298" s="89">
        <f>H145*NAV!O$27</f>
        <v>1783244.4000000001</v>
      </c>
      <c r="I298" s="89">
        <f>I145*NAV!P$27</f>
        <v>1713780.81</v>
      </c>
      <c r="J298" s="89">
        <f>J145*NAV!Q$27</f>
        <v>1820153.4120000002</v>
      </c>
      <c r="K298" s="89">
        <f>K145*NAV!R$27</f>
        <v>1856556.4802400004</v>
      </c>
    </row>
    <row r="299" spans="2:11" ht="14.4" customHeight="1" x14ac:dyDescent="0.3">
      <c r="B299" s="16" t="s">
        <v>310</v>
      </c>
      <c r="C299" s="44"/>
      <c r="D299" s="89"/>
      <c r="E299" s="89"/>
      <c r="F299" s="143" t="s">
        <v>169</v>
      </c>
      <c r="G299" s="89"/>
      <c r="H299" s="89">
        <f>H146*NAV!O$27</f>
        <v>1783244.4000000001</v>
      </c>
      <c r="I299" s="89">
        <f>I146*NAV!P$27</f>
        <v>1713780.81</v>
      </c>
      <c r="J299" s="89">
        <f>J146*NAV!Q$27</f>
        <v>1820153.4120000002</v>
      </c>
      <c r="K299" s="89">
        <f>K146*NAV!R$27</f>
        <v>1856556.4802400004</v>
      </c>
    </row>
    <row r="300" spans="2:11" ht="14.4" customHeight="1" x14ac:dyDescent="0.3">
      <c r="B300" s="16" t="s">
        <v>311</v>
      </c>
      <c r="C300" s="44"/>
      <c r="D300" s="89"/>
      <c r="E300" s="89"/>
      <c r="F300" s="143" t="s">
        <v>169</v>
      </c>
      <c r="G300" s="89"/>
      <c r="H300" s="89">
        <f>H147*NAV!O$27</f>
        <v>1783244.4000000001</v>
      </c>
      <c r="I300" s="89">
        <f>I147*NAV!P$27</f>
        <v>1713780.81</v>
      </c>
      <c r="J300" s="89">
        <f>J147*NAV!Q$27</f>
        <v>1820153.4120000002</v>
      </c>
      <c r="K300" s="89">
        <f>K147*NAV!R$27</f>
        <v>1856556.4802400004</v>
      </c>
    </row>
    <row r="301" spans="2:11" ht="14.4" customHeight="1" x14ac:dyDescent="0.3">
      <c r="B301" s="16" t="s">
        <v>314</v>
      </c>
      <c r="C301" s="44"/>
      <c r="D301" s="89"/>
      <c r="E301" s="89"/>
      <c r="F301" s="143" t="s">
        <v>169</v>
      </c>
      <c r="G301" s="89"/>
      <c r="H301" s="89">
        <f>H148*NAV!O$27</f>
        <v>1783244.4000000001</v>
      </c>
      <c r="I301" s="89">
        <f>I148*NAV!P$27</f>
        <v>1713780.81</v>
      </c>
      <c r="J301" s="89">
        <f>J148*NAV!Q$27</f>
        <v>1820153.4120000002</v>
      </c>
      <c r="K301" s="89">
        <f>K148*NAV!R$27</f>
        <v>1856556.4802400004</v>
      </c>
    </row>
    <row r="302" spans="2:11" ht="14.4" customHeight="1" x14ac:dyDescent="0.3">
      <c r="B302" s="16" t="s">
        <v>315</v>
      </c>
      <c r="C302" s="44"/>
      <c r="D302" s="89"/>
      <c r="E302" s="89"/>
      <c r="F302" s="143" t="s">
        <v>169</v>
      </c>
      <c r="G302" s="89"/>
      <c r="H302" s="89">
        <f>H149*NAV!O$27</f>
        <v>1783244.4000000001</v>
      </c>
      <c r="I302" s="89">
        <f>I149*NAV!P$27</f>
        <v>1713780.81</v>
      </c>
      <c r="J302" s="89">
        <f>J149*NAV!Q$27</f>
        <v>1820153.4120000002</v>
      </c>
      <c r="K302" s="89">
        <f>K149*NAV!R$27</f>
        <v>1856556.4802400004</v>
      </c>
    </row>
    <row r="303" spans="2:11" ht="14.4" customHeight="1" x14ac:dyDescent="0.3">
      <c r="B303" s="16" t="s">
        <v>316</v>
      </c>
      <c r="C303" s="44"/>
      <c r="D303" s="89"/>
      <c r="E303" s="89"/>
      <c r="F303" s="143" t="s">
        <v>169</v>
      </c>
      <c r="G303" s="89"/>
      <c r="H303" s="89">
        <f>H150*NAV!O$27</f>
        <v>1783244.4000000001</v>
      </c>
      <c r="I303" s="89">
        <f>I150*NAV!P$27</f>
        <v>1713780.81</v>
      </c>
      <c r="J303" s="89">
        <f>J150*NAV!Q$27</f>
        <v>1820153.4120000002</v>
      </c>
      <c r="K303" s="89">
        <f>K150*NAV!R$27</f>
        <v>1856556.4802400004</v>
      </c>
    </row>
    <row r="304" spans="2:11" ht="14.4" customHeight="1" x14ac:dyDescent="0.3">
      <c r="B304" s="16" t="s">
        <v>318</v>
      </c>
      <c r="C304" s="44"/>
      <c r="D304" s="89"/>
      <c r="E304" s="89"/>
      <c r="F304" s="143" t="s">
        <v>169</v>
      </c>
      <c r="G304" s="89"/>
      <c r="H304" s="89">
        <f>H151*NAV!O$27</f>
        <v>1783244.4000000001</v>
      </c>
      <c r="I304" s="89">
        <f>I151*NAV!P$27</f>
        <v>1713780.81</v>
      </c>
      <c r="J304" s="89">
        <f>J151*NAV!Q$27</f>
        <v>1820153.4120000002</v>
      </c>
      <c r="K304" s="89">
        <f>K151*NAV!R$27</f>
        <v>1856556.4802400004</v>
      </c>
    </row>
    <row r="305" spans="2:11" ht="14.4" customHeight="1" x14ac:dyDescent="0.3">
      <c r="B305" s="16" t="s">
        <v>175</v>
      </c>
      <c r="C305" s="44"/>
      <c r="D305" s="89"/>
      <c r="E305" s="89"/>
      <c r="F305" s="143" t="s">
        <v>169</v>
      </c>
      <c r="G305" s="89"/>
      <c r="H305" s="89">
        <f>H152*NAV!O$27</f>
        <v>1783244.4000000001</v>
      </c>
      <c r="I305" s="89">
        <f>I152*NAV!P$27</f>
        <v>1713780.81</v>
      </c>
      <c r="J305" s="89">
        <f>J152*NAV!Q$27</f>
        <v>1820153.4120000002</v>
      </c>
      <c r="K305" s="89">
        <f>K152*NAV!R$27</f>
        <v>1856556.4802400004</v>
      </c>
    </row>
    <row r="306" spans="2:11" ht="14.4" customHeight="1" x14ac:dyDescent="0.3">
      <c r="B306" s="16" t="s">
        <v>317</v>
      </c>
      <c r="C306" s="44"/>
      <c r="D306" s="89"/>
      <c r="E306" s="89"/>
      <c r="F306" s="143" t="s">
        <v>169</v>
      </c>
      <c r="G306" s="89"/>
      <c r="H306" s="89">
        <f>H153*NAV!O$27</f>
        <v>1783244.4000000001</v>
      </c>
      <c r="I306" s="89">
        <f>I153*NAV!P$27</f>
        <v>1713780.81</v>
      </c>
      <c r="J306" s="89">
        <f>J153*NAV!Q$27</f>
        <v>1820153.4120000002</v>
      </c>
      <c r="K306" s="89">
        <f>K153*NAV!R$27</f>
        <v>1856556.4802400004</v>
      </c>
    </row>
    <row r="307" spans="2:11" ht="14.4" customHeight="1" x14ac:dyDescent="0.3">
      <c r="B307" s="16" t="s">
        <v>321</v>
      </c>
      <c r="C307" s="44"/>
      <c r="D307" s="89"/>
      <c r="E307" s="89"/>
      <c r="F307" s="143" t="s">
        <v>169</v>
      </c>
      <c r="G307" s="89"/>
      <c r="H307" s="89">
        <f>H154*NAV!O$27</f>
        <v>1783244.4000000001</v>
      </c>
      <c r="I307" s="89">
        <f>I154*NAV!P$27</f>
        <v>1713780.81</v>
      </c>
      <c r="J307" s="89">
        <f>J154*NAV!Q$27</f>
        <v>1820153.4120000002</v>
      </c>
      <c r="K307" s="89">
        <f>K154*NAV!R$27</f>
        <v>1856556.4802400004</v>
      </c>
    </row>
    <row r="308" spans="2:11" ht="14.4" customHeight="1" x14ac:dyDescent="0.3">
      <c r="B308" s="16" t="s">
        <v>322</v>
      </c>
      <c r="C308" s="44"/>
      <c r="D308" s="89"/>
      <c r="E308" s="89"/>
      <c r="F308" s="143" t="s">
        <v>169</v>
      </c>
      <c r="G308" s="89"/>
      <c r="H308" s="89">
        <f>H155*NAV!O$27</f>
        <v>1783244.4000000001</v>
      </c>
      <c r="I308" s="89">
        <f>I155*NAV!P$27</f>
        <v>1713780.81</v>
      </c>
      <c r="J308" s="89">
        <f>J155*NAV!Q$27</f>
        <v>1820153.4120000002</v>
      </c>
      <c r="K308" s="89">
        <f>K155*NAV!R$27</f>
        <v>1856556.4802400004</v>
      </c>
    </row>
    <row r="309" spans="2:11" ht="14.4" customHeight="1" x14ac:dyDescent="0.3">
      <c r="B309" s="16" t="s">
        <v>323</v>
      </c>
      <c r="C309" s="44"/>
      <c r="D309" s="89"/>
      <c r="E309" s="89"/>
      <c r="F309" s="143" t="s">
        <v>169</v>
      </c>
      <c r="G309" s="89"/>
      <c r="H309" s="89">
        <f>H156*NAV!O$27</f>
        <v>1783244.4000000001</v>
      </c>
      <c r="I309" s="89">
        <f>I156*NAV!P$27</f>
        <v>1713780.81</v>
      </c>
      <c r="J309" s="89">
        <f>J156*NAV!Q$27</f>
        <v>1820153.4120000002</v>
      </c>
      <c r="K309" s="89">
        <f>K156*NAV!R$27</f>
        <v>1856556.4802400004</v>
      </c>
    </row>
    <row r="310" spans="2:11" ht="14.4" customHeight="1" x14ac:dyDescent="0.3">
      <c r="B310" s="158" t="s">
        <v>176</v>
      </c>
      <c r="C310" s="44"/>
      <c r="D310" s="89"/>
      <c r="E310" s="89"/>
      <c r="F310" s="159" t="s">
        <v>169</v>
      </c>
      <c r="G310" s="89"/>
      <c r="H310" s="89">
        <f>H157*NAV!O$27</f>
        <v>1783244.4000000001</v>
      </c>
      <c r="I310" s="89">
        <f>I157*NAV!P$27</f>
        <v>1713780.81</v>
      </c>
      <c r="J310" s="89">
        <f>J157*NAV!Q$27</f>
        <v>1820153.4120000002</v>
      </c>
      <c r="K310" s="89">
        <f>K157*NAV!R$27</f>
        <v>1856556.4802400004</v>
      </c>
    </row>
    <row r="311" spans="2:11" ht="14.4" customHeight="1" x14ac:dyDescent="0.3">
      <c r="B311" s="158" t="s">
        <v>177</v>
      </c>
      <c r="C311" s="44"/>
      <c r="D311" s="89"/>
      <c r="E311" s="89"/>
      <c r="F311" s="159" t="s">
        <v>169</v>
      </c>
      <c r="G311" s="89"/>
      <c r="H311" s="89">
        <f>H158*NAV!O$27</f>
        <v>1783244.4000000001</v>
      </c>
      <c r="I311" s="89">
        <f>I158*NAV!P$27</f>
        <v>1713780.81</v>
      </c>
      <c r="J311" s="89">
        <f>J158*NAV!Q$27</f>
        <v>1820153.4120000002</v>
      </c>
      <c r="K311" s="89">
        <f>K158*NAV!R$27</f>
        <v>1856556.4802400004</v>
      </c>
    </row>
    <row r="312" spans="2:11" ht="14.4" customHeight="1" x14ac:dyDescent="0.3">
      <c r="B312" s="158" t="s">
        <v>328</v>
      </c>
      <c r="C312" s="44"/>
      <c r="D312" s="89"/>
      <c r="E312" s="89"/>
      <c r="F312" s="159" t="s">
        <v>169</v>
      </c>
      <c r="G312" s="89"/>
      <c r="H312" s="89">
        <f>H159*NAV!O$27</f>
        <v>1783244.4000000001</v>
      </c>
      <c r="I312" s="89">
        <f>I159*NAV!P$27</f>
        <v>1713780.81</v>
      </c>
      <c r="J312" s="89">
        <f>J159*NAV!Q$27</f>
        <v>1820153.4120000002</v>
      </c>
      <c r="K312" s="89">
        <f>K159*NAV!R$27</f>
        <v>1856556.4802400004</v>
      </c>
    </row>
    <row r="313" spans="2:11" ht="14.4" customHeight="1" x14ac:dyDescent="0.3">
      <c r="B313" s="141" t="s">
        <v>277</v>
      </c>
      <c r="C313" s="79"/>
      <c r="D313" s="89"/>
      <c r="E313" s="89"/>
      <c r="F313" s="78" t="s">
        <v>169</v>
      </c>
      <c r="G313" s="89"/>
      <c r="H313" s="89">
        <f>H160*NAV!O$27</f>
        <v>1783244.4000000001</v>
      </c>
      <c r="I313" s="89">
        <f>I160*NAV!P$27</f>
        <v>1713780.81</v>
      </c>
      <c r="J313" s="89">
        <f>J160*NAV!Q$27</f>
        <v>1820153.4120000002</v>
      </c>
      <c r="K313" s="89">
        <f>K160*NAV!R$27</f>
        <v>1856556.4802400004</v>
      </c>
    </row>
    <row r="314" spans="2:11" ht="14.4" customHeight="1" x14ac:dyDescent="0.3">
      <c r="B314" s="16" t="s">
        <v>293</v>
      </c>
      <c r="C314" s="44"/>
      <c r="D314" s="89"/>
      <c r="E314" s="89"/>
      <c r="F314" s="143" t="s">
        <v>169</v>
      </c>
      <c r="G314" s="89"/>
      <c r="H314" s="89">
        <f>H161*NAV!O$27</f>
        <v>1783244.4000000001</v>
      </c>
      <c r="I314" s="89">
        <f>I161*NAV!P$27</f>
        <v>1713780.81</v>
      </c>
      <c r="J314" s="89">
        <f>J161*NAV!Q$27</f>
        <v>1820153.4120000002</v>
      </c>
      <c r="K314" s="89">
        <f>K161*NAV!R$27</f>
        <v>1856556.4802400004</v>
      </c>
    </row>
    <row r="315" spans="2:11" ht="14.4" customHeight="1" x14ac:dyDescent="0.3">
      <c r="B315" s="16" t="s">
        <v>289</v>
      </c>
      <c r="C315" s="44"/>
      <c r="D315" s="89"/>
      <c r="E315" s="89"/>
      <c r="F315" s="143" t="s">
        <v>169</v>
      </c>
      <c r="G315" s="89"/>
      <c r="H315" s="89">
        <f>H162*NAV!O$27</f>
        <v>1783244.4000000001</v>
      </c>
      <c r="I315" s="89">
        <f>I162*NAV!P$27</f>
        <v>1713780.81</v>
      </c>
      <c r="J315" s="89">
        <f>J162*NAV!Q$27</f>
        <v>1820153.4120000002</v>
      </c>
      <c r="K315" s="89">
        <f>K162*NAV!R$27</f>
        <v>1856556.4802400004</v>
      </c>
    </row>
    <row r="316" spans="2:11" ht="14.4" customHeight="1" x14ac:dyDescent="0.3">
      <c r="B316" s="16" t="s">
        <v>291</v>
      </c>
      <c r="C316" s="44"/>
      <c r="D316" s="89"/>
      <c r="E316" s="89"/>
      <c r="F316" s="143" t="s">
        <v>169</v>
      </c>
      <c r="G316" s="89"/>
      <c r="H316" s="89">
        <f>H163*NAV!O$27</f>
        <v>1783244.4000000001</v>
      </c>
      <c r="I316" s="89">
        <f>I163*NAV!P$27</f>
        <v>1713780.81</v>
      </c>
      <c r="J316" s="89">
        <f>J163*NAV!Q$27</f>
        <v>1820153.4120000002</v>
      </c>
      <c r="K316" s="89">
        <f>K163*NAV!R$27</f>
        <v>1856556.4802400004</v>
      </c>
    </row>
    <row r="317" spans="2:11" ht="14.4" customHeight="1" x14ac:dyDescent="0.3">
      <c r="B317" s="16" t="s">
        <v>312</v>
      </c>
      <c r="C317" s="44"/>
      <c r="D317" s="89"/>
      <c r="E317" s="89"/>
      <c r="F317" s="143" t="s">
        <v>169</v>
      </c>
      <c r="G317" s="89"/>
      <c r="H317" s="89">
        <f>H164*NAV!O$27</f>
        <v>1783244.4000000001</v>
      </c>
      <c r="I317" s="89">
        <f>I164*NAV!P$27</f>
        <v>1713780.81</v>
      </c>
      <c r="J317" s="89">
        <f>J164*NAV!Q$27</f>
        <v>1820153.4120000002</v>
      </c>
      <c r="K317" s="89">
        <f>K164*NAV!R$27</f>
        <v>1856556.4802400004</v>
      </c>
    </row>
    <row r="318" spans="2:11" ht="14.4" customHeight="1" x14ac:dyDescent="0.3">
      <c r="B318" s="16" t="s">
        <v>305</v>
      </c>
      <c r="C318" s="44"/>
      <c r="D318" s="89"/>
      <c r="E318" s="89"/>
      <c r="F318" s="143" t="s">
        <v>169</v>
      </c>
      <c r="G318" s="89"/>
      <c r="H318" s="89">
        <f>H165*NAV!O$27</f>
        <v>1783244.4000000001</v>
      </c>
      <c r="I318" s="89">
        <f>I165*NAV!P$27</f>
        <v>1713780.81</v>
      </c>
      <c r="J318" s="89">
        <f>J165*NAV!Q$27</f>
        <v>1820153.4120000002</v>
      </c>
      <c r="K318" s="89">
        <f>K165*NAV!R$27</f>
        <v>1856556.4802400004</v>
      </c>
    </row>
    <row r="319" spans="2:11" ht="14.4" customHeight="1" x14ac:dyDescent="0.3">
      <c r="B319" s="16" t="s">
        <v>286</v>
      </c>
      <c r="C319" s="44"/>
      <c r="D319" s="89"/>
      <c r="E319" s="89"/>
      <c r="F319" s="143" t="s">
        <v>169</v>
      </c>
      <c r="G319" s="89"/>
      <c r="H319" s="89">
        <f>H166*NAV!O$27</f>
        <v>1783244.4000000001</v>
      </c>
      <c r="I319" s="89">
        <f>I166*NAV!P$27</f>
        <v>1713780.81</v>
      </c>
      <c r="J319" s="89">
        <f>J166*NAV!Q$27</f>
        <v>1820153.4120000002</v>
      </c>
      <c r="K319" s="89">
        <f>K166*NAV!R$27</f>
        <v>1856556.4802400004</v>
      </c>
    </row>
    <row r="320" spans="2:11" ht="14.4" customHeight="1" x14ac:dyDescent="0.3">
      <c r="B320" s="16" t="s">
        <v>272</v>
      </c>
      <c r="C320" s="44"/>
      <c r="D320" s="89"/>
      <c r="E320" s="89"/>
      <c r="F320" s="143" t="s">
        <v>169</v>
      </c>
      <c r="G320" s="89"/>
      <c r="H320" s="89">
        <f>H167*NAV!O$27</f>
        <v>1783244.4000000001</v>
      </c>
      <c r="I320" s="89">
        <f>I167*NAV!P$27</f>
        <v>1713780.81</v>
      </c>
      <c r="J320" s="89">
        <f>J167*NAV!Q$27</f>
        <v>1820153.4120000002</v>
      </c>
      <c r="K320" s="89">
        <f>K167*NAV!R$27</f>
        <v>1856556.4802400004</v>
      </c>
    </row>
    <row r="321" spans="2:11" ht="14.4" customHeight="1" x14ac:dyDescent="0.3">
      <c r="B321" s="16" t="s">
        <v>288</v>
      </c>
      <c r="C321" s="44"/>
      <c r="D321" s="89"/>
      <c r="E321" s="89"/>
      <c r="F321" s="143" t="s">
        <v>169</v>
      </c>
      <c r="G321" s="89"/>
      <c r="H321" s="89">
        <f>H168*NAV!O$27</f>
        <v>1783244.4000000001</v>
      </c>
      <c r="I321" s="89">
        <f>I168*NAV!P$27</f>
        <v>1713780.81</v>
      </c>
      <c r="J321" s="89">
        <f>J168*NAV!Q$27</f>
        <v>1820153.4120000002</v>
      </c>
      <c r="K321" s="89">
        <f>K168*NAV!R$27</f>
        <v>1856556.4802400004</v>
      </c>
    </row>
    <row r="322" spans="2:11" ht="14.4" customHeight="1" x14ac:dyDescent="0.3">
      <c r="B322" s="16" t="s">
        <v>284</v>
      </c>
      <c r="C322" s="44"/>
      <c r="D322" s="89"/>
      <c r="E322" s="89"/>
      <c r="F322" s="143" t="s">
        <v>169</v>
      </c>
      <c r="G322" s="89"/>
      <c r="H322" s="89">
        <f>H169*NAV!O$27</f>
        <v>1783244.4000000001</v>
      </c>
      <c r="I322" s="89">
        <f>I169*NAV!P$27</f>
        <v>1713780.81</v>
      </c>
      <c r="J322" s="89">
        <f>J169*NAV!Q$27</f>
        <v>1820153.4120000002</v>
      </c>
      <c r="K322" s="89">
        <f>K169*NAV!R$27</f>
        <v>1856556.4802400004</v>
      </c>
    </row>
    <row r="323" spans="2:11" ht="14.4" customHeight="1" x14ac:dyDescent="0.3">
      <c r="B323" s="16" t="s">
        <v>280</v>
      </c>
      <c r="C323" s="44"/>
      <c r="D323" s="89"/>
      <c r="E323" s="89"/>
      <c r="F323" s="143" t="s">
        <v>169</v>
      </c>
      <c r="G323" s="89"/>
      <c r="H323" s="89">
        <f>H170*NAV!O$27</f>
        <v>1783244.4000000001</v>
      </c>
      <c r="I323" s="89">
        <f>I170*NAV!P$27</f>
        <v>1713780.81</v>
      </c>
      <c r="J323" s="89">
        <f>J170*NAV!Q$27</f>
        <v>1820153.4120000002</v>
      </c>
      <c r="K323" s="89">
        <f>K170*NAV!R$27</f>
        <v>1856556.4802400004</v>
      </c>
    </row>
    <row r="324" spans="2:11" ht="14.4" customHeight="1" x14ac:dyDescent="0.3">
      <c r="B324" s="16" t="s">
        <v>306</v>
      </c>
      <c r="C324" s="44"/>
      <c r="D324" s="89"/>
      <c r="E324" s="89"/>
      <c r="F324" s="143" t="s">
        <v>169</v>
      </c>
      <c r="G324" s="89"/>
      <c r="H324" s="89">
        <f>H171*NAV!O$27</f>
        <v>1783244.4000000001</v>
      </c>
      <c r="I324" s="89">
        <f>I171*NAV!P$27</f>
        <v>1713780.81</v>
      </c>
      <c r="J324" s="89">
        <f>J171*NAV!Q$27</f>
        <v>1820153.4120000002</v>
      </c>
      <c r="K324" s="89">
        <f>K171*NAV!R$27</f>
        <v>1856556.4802400004</v>
      </c>
    </row>
    <row r="325" spans="2:11" ht="14.4" customHeight="1" x14ac:dyDescent="0.3">
      <c r="B325" s="16" t="s">
        <v>275</v>
      </c>
      <c r="C325" s="44"/>
      <c r="D325" s="89"/>
      <c r="E325" s="89"/>
      <c r="F325" s="143" t="s">
        <v>169</v>
      </c>
      <c r="G325" s="89"/>
      <c r="H325" s="89">
        <f>H172*NAV!O$27</f>
        <v>1783244.4000000001</v>
      </c>
      <c r="I325" s="89">
        <f>I172*NAV!P$27</f>
        <v>1713780.81</v>
      </c>
      <c r="J325" s="89">
        <f>J172*NAV!Q$27</f>
        <v>1820153.4120000002</v>
      </c>
      <c r="K325" s="89">
        <f>K172*NAV!R$27</f>
        <v>1856556.4802400004</v>
      </c>
    </row>
    <row r="326" spans="2:11" ht="14.4" customHeight="1" x14ac:dyDescent="0.3">
      <c r="B326" s="16" t="s">
        <v>285</v>
      </c>
      <c r="C326" s="44"/>
      <c r="D326" s="89"/>
      <c r="E326" s="89"/>
      <c r="F326" s="143" t="s">
        <v>169</v>
      </c>
      <c r="G326" s="89"/>
      <c r="H326" s="89">
        <f>H173*NAV!O$27</f>
        <v>1783244.4000000001</v>
      </c>
      <c r="I326" s="89">
        <f>I173*NAV!P$27</f>
        <v>1713780.81</v>
      </c>
      <c r="J326" s="89">
        <f>J173*NAV!Q$27</f>
        <v>1820153.4120000002</v>
      </c>
      <c r="K326" s="89">
        <f>K173*NAV!R$27</f>
        <v>1856556.4802400004</v>
      </c>
    </row>
    <row r="327" spans="2:11" ht="14.4" customHeight="1" x14ac:dyDescent="0.3">
      <c r="B327" s="16" t="s">
        <v>287</v>
      </c>
      <c r="C327" s="44"/>
      <c r="D327" s="89"/>
      <c r="E327" s="89"/>
      <c r="F327" s="143" t="s">
        <v>169</v>
      </c>
      <c r="G327" s="89"/>
      <c r="H327" s="89">
        <f>H174*NAV!O$27</f>
        <v>1783244.4000000001</v>
      </c>
      <c r="I327" s="89">
        <f>I174*NAV!P$27</f>
        <v>1713780.81</v>
      </c>
      <c r="J327" s="89">
        <f>J174*NAV!Q$27</f>
        <v>1820153.4120000002</v>
      </c>
      <c r="K327" s="89">
        <f>K174*NAV!R$27</f>
        <v>1856556.4802400004</v>
      </c>
    </row>
    <row r="328" spans="2:11" ht="14.4" customHeight="1" x14ac:dyDescent="0.3">
      <c r="B328" s="16" t="s">
        <v>282</v>
      </c>
      <c r="C328" s="44"/>
      <c r="D328" s="89"/>
      <c r="E328" s="89"/>
      <c r="F328" s="143" t="s">
        <v>169</v>
      </c>
      <c r="G328" s="89"/>
      <c r="H328" s="89">
        <f>H175*NAV!O$27</f>
        <v>1783244.4000000001</v>
      </c>
      <c r="I328" s="89">
        <f>I175*NAV!P$27</f>
        <v>1713780.81</v>
      </c>
      <c r="J328" s="89">
        <f>J175*NAV!Q$27</f>
        <v>1820153.4120000002</v>
      </c>
      <c r="K328" s="89">
        <f>K175*NAV!R$27</f>
        <v>1856556.4802400004</v>
      </c>
    </row>
    <row r="329" spans="2:11" ht="14.4" customHeight="1" x14ac:dyDescent="0.3">
      <c r="B329" s="16" t="s">
        <v>294</v>
      </c>
      <c r="C329" s="44"/>
      <c r="D329" s="89"/>
      <c r="E329" s="89"/>
      <c r="F329" s="143" t="s">
        <v>169</v>
      </c>
      <c r="G329" s="89"/>
      <c r="H329" s="89">
        <f>H176*NAV!O$27</f>
        <v>1783244.4000000001</v>
      </c>
      <c r="I329" s="89">
        <f>I176*NAV!P$27</f>
        <v>1713780.81</v>
      </c>
      <c r="J329" s="89">
        <f>J176*NAV!Q$27</f>
        <v>1820153.4120000002</v>
      </c>
      <c r="K329" s="89">
        <f>K176*NAV!R$27</f>
        <v>1856556.4802400004</v>
      </c>
    </row>
    <row r="330" spans="2:11" ht="14.4" customHeight="1" x14ac:dyDescent="0.3">
      <c r="B330" s="16" t="s">
        <v>319</v>
      </c>
      <c r="C330" s="44"/>
      <c r="D330" s="89"/>
      <c r="E330" s="89"/>
      <c r="F330" s="143" t="s">
        <v>169</v>
      </c>
      <c r="G330" s="89"/>
      <c r="H330" s="89">
        <f>H177*NAV!O$27</f>
        <v>1783244.4000000001</v>
      </c>
      <c r="I330" s="89">
        <f>I177*NAV!P$27</f>
        <v>1713780.81</v>
      </c>
      <c r="J330" s="89">
        <f>J177*NAV!Q$27</f>
        <v>1820153.4120000002</v>
      </c>
      <c r="K330" s="89">
        <f>K177*NAV!R$27</f>
        <v>1856556.4802400004</v>
      </c>
    </row>
    <row r="331" spans="2:11" ht="14.4" customHeight="1" x14ac:dyDescent="0.3">
      <c r="B331" s="16" t="s">
        <v>296</v>
      </c>
      <c r="C331" s="44"/>
      <c r="D331" s="89"/>
      <c r="E331" s="89"/>
      <c r="F331" s="143" t="s">
        <v>169</v>
      </c>
      <c r="G331" s="89"/>
      <c r="H331" s="89">
        <f>H178*NAV!O$27</f>
        <v>1783244.4000000001</v>
      </c>
      <c r="I331" s="89">
        <f>I178*NAV!P$27</f>
        <v>1713780.81</v>
      </c>
      <c r="J331" s="89">
        <f>J178*NAV!Q$27</f>
        <v>1820153.4120000002</v>
      </c>
      <c r="K331" s="89">
        <f>K178*NAV!R$27</f>
        <v>1856556.4802400004</v>
      </c>
    </row>
    <row r="332" spans="2:11" ht="14.4" customHeight="1" x14ac:dyDescent="0.3">
      <c r="B332" s="16" t="s">
        <v>301</v>
      </c>
      <c r="C332" s="44"/>
      <c r="D332" s="89"/>
      <c r="E332" s="89"/>
      <c r="F332" s="143" t="s">
        <v>169</v>
      </c>
      <c r="G332" s="89"/>
      <c r="H332" s="89">
        <f>H179*NAV!O$27</f>
        <v>1783244.4000000001</v>
      </c>
      <c r="I332" s="89">
        <f>I179*NAV!P$27</f>
        <v>1713780.81</v>
      </c>
      <c r="J332" s="89">
        <f>J179*NAV!Q$27</f>
        <v>1820153.4120000002</v>
      </c>
      <c r="K332" s="89">
        <f>K179*NAV!R$27</f>
        <v>1856556.4802400004</v>
      </c>
    </row>
    <row r="333" spans="2:11" ht="14.4" customHeight="1" x14ac:dyDescent="0.3">
      <c r="B333" s="16" t="s">
        <v>299</v>
      </c>
      <c r="C333" s="44"/>
      <c r="D333" s="89"/>
      <c r="E333" s="89"/>
      <c r="F333" s="143" t="s">
        <v>169</v>
      </c>
      <c r="G333" s="89"/>
      <c r="H333" s="89">
        <f>H180*NAV!O$27</f>
        <v>1783244.4000000001</v>
      </c>
      <c r="I333" s="89">
        <f>I180*NAV!P$27</f>
        <v>1713780.81</v>
      </c>
      <c r="J333" s="89">
        <f>J180*NAV!Q$27</f>
        <v>1820153.4120000002</v>
      </c>
      <c r="K333" s="89">
        <f>K180*NAV!R$27</f>
        <v>1856556.4802400004</v>
      </c>
    </row>
    <row r="334" spans="2:11" ht="14.4" customHeight="1" x14ac:dyDescent="0.3">
      <c r="B334" s="16" t="s">
        <v>300</v>
      </c>
      <c r="C334" s="44"/>
      <c r="D334" s="89"/>
      <c r="E334" s="89"/>
      <c r="F334" s="143" t="s">
        <v>169</v>
      </c>
      <c r="G334" s="89"/>
      <c r="H334" s="89">
        <f>H181*NAV!O$27</f>
        <v>1783244.4000000001</v>
      </c>
      <c r="I334" s="89">
        <f>I181*NAV!P$27</f>
        <v>1713780.81</v>
      </c>
      <c r="J334" s="89">
        <f>J181*NAV!Q$27</f>
        <v>1820153.4120000002</v>
      </c>
      <c r="K334" s="89">
        <f>K181*NAV!R$27</f>
        <v>1856556.4802400004</v>
      </c>
    </row>
    <row r="335" spans="2:11" ht="14.4" customHeight="1" x14ac:dyDescent="0.3">
      <c r="B335" s="16" t="s">
        <v>297</v>
      </c>
      <c r="C335" s="44"/>
      <c r="D335" s="89"/>
      <c r="E335" s="89"/>
      <c r="F335" s="143" t="s">
        <v>169</v>
      </c>
      <c r="G335" s="89"/>
      <c r="H335" s="89">
        <f>H182*NAV!O$27</f>
        <v>1783244.4000000001</v>
      </c>
      <c r="I335" s="89">
        <f>I182*NAV!P$27</f>
        <v>1713780.81</v>
      </c>
      <c r="J335" s="89">
        <f>J182*NAV!Q$27</f>
        <v>1820153.4120000002</v>
      </c>
      <c r="K335" s="89">
        <f>K182*NAV!R$27</f>
        <v>1856556.4802400004</v>
      </c>
    </row>
    <row r="336" spans="2:11" ht="14.4" customHeight="1" x14ac:dyDescent="0.3">
      <c r="B336" s="16" t="s">
        <v>304</v>
      </c>
      <c r="C336" s="44"/>
      <c r="D336" s="89"/>
      <c r="E336" s="89"/>
      <c r="F336" s="143" t="s">
        <v>169</v>
      </c>
      <c r="G336" s="89"/>
      <c r="H336" s="89">
        <f>H183*NAV!O$27</f>
        <v>1783244.4000000001</v>
      </c>
      <c r="I336" s="89">
        <f>I183*NAV!P$27</f>
        <v>1713780.81</v>
      </c>
      <c r="J336" s="89">
        <f>J183*NAV!Q$27</f>
        <v>1820153.4120000002</v>
      </c>
      <c r="K336" s="89">
        <f>K183*NAV!R$27</f>
        <v>1856556.4802400004</v>
      </c>
    </row>
    <row r="337" spans="2:11" ht="14.4" customHeight="1" x14ac:dyDescent="0.3">
      <c r="B337" s="16" t="s">
        <v>303</v>
      </c>
      <c r="C337" s="44"/>
      <c r="D337" s="89"/>
      <c r="E337" s="89"/>
      <c r="F337" s="143" t="s">
        <v>169</v>
      </c>
      <c r="G337" s="89"/>
      <c r="H337" s="89">
        <f>H184*NAV!O$27</f>
        <v>1783244.4000000001</v>
      </c>
      <c r="I337" s="89">
        <f>I184*NAV!P$27</f>
        <v>1713780.81</v>
      </c>
      <c r="J337" s="89">
        <f>J184*NAV!Q$27</f>
        <v>1820153.4120000002</v>
      </c>
      <c r="K337" s="89">
        <f>K184*NAV!R$27</f>
        <v>1856556.4802400004</v>
      </c>
    </row>
    <row r="338" spans="2:11" ht="14.4" customHeight="1" x14ac:dyDescent="0.3">
      <c r="B338" s="16" t="s">
        <v>302</v>
      </c>
      <c r="C338" s="44"/>
      <c r="D338" s="89"/>
      <c r="E338" s="89"/>
      <c r="F338" s="143" t="s">
        <v>169</v>
      </c>
      <c r="G338" s="89"/>
      <c r="H338" s="89">
        <f>H185*NAV!O$27</f>
        <v>1783244.4000000001</v>
      </c>
      <c r="I338" s="89">
        <f>I185*NAV!P$27</f>
        <v>1713780.81</v>
      </c>
      <c r="J338" s="89">
        <f>J185*NAV!Q$27</f>
        <v>1820153.4120000002</v>
      </c>
      <c r="K338" s="89">
        <f>K185*NAV!R$27</f>
        <v>1856556.4802400004</v>
      </c>
    </row>
    <row r="339" spans="2:11" ht="14.4" customHeight="1" x14ac:dyDescent="0.3">
      <c r="B339" s="16" t="s">
        <v>281</v>
      </c>
      <c r="C339" s="44"/>
      <c r="D339" s="89"/>
      <c r="E339" s="89"/>
      <c r="F339" s="143" t="s">
        <v>169</v>
      </c>
      <c r="G339" s="89"/>
      <c r="H339" s="89">
        <f>H186*NAV!O$27</f>
        <v>1783244.4000000001</v>
      </c>
      <c r="I339" s="89">
        <f>I186*NAV!P$27</f>
        <v>1713780.81</v>
      </c>
      <c r="J339" s="89">
        <f>J186*NAV!Q$27</f>
        <v>1820153.4120000002</v>
      </c>
      <c r="K339" s="89">
        <f>K186*NAV!R$27</f>
        <v>1856556.4802400004</v>
      </c>
    </row>
    <row r="340" spans="2:11" ht="14.4" customHeight="1" x14ac:dyDescent="0.3">
      <c r="B340" s="16" t="s">
        <v>278</v>
      </c>
      <c r="C340" s="44"/>
      <c r="D340" s="89"/>
      <c r="E340" s="89"/>
      <c r="F340" s="143" t="s">
        <v>169</v>
      </c>
      <c r="G340" s="89"/>
      <c r="H340" s="89">
        <f>H187*NAV!O$27</f>
        <v>1783244.4000000001</v>
      </c>
      <c r="I340" s="89">
        <f>I187*NAV!P$27</f>
        <v>1713780.81</v>
      </c>
      <c r="J340" s="89">
        <f>J187*NAV!Q$27</f>
        <v>1820153.4120000002</v>
      </c>
      <c r="K340" s="89">
        <f>K187*NAV!R$27</f>
        <v>1856556.4802400004</v>
      </c>
    </row>
    <row r="341" spans="2:11" ht="14.4" customHeight="1" x14ac:dyDescent="0.3">
      <c r="B341" s="16" t="s">
        <v>274</v>
      </c>
      <c r="C341" s="44"/>
      <c r="D341" s="89"/>
      <c r="E341" s="89"/>
      <c r="F341" s="143" t="s">
        <v>169</v>
      </c>
      <c r="G341" s="89"/>
      <c r="H341" s="89">
        <f>H188*NAV!O$27</f>
        <v>1783244.4000000001</v>
      </c>
      <c r="I341" s="89">
        <f>I188*NAV!P$27</f>
        <v>1713780.81</v>
      </c>
      <c r="J341" s="89">
        <f>J188*NAV!Q$27</f>
        <v>1820153.4120000002</v>
      </c>
      <c r="K341" s="89">
        <f>K188*NAV!R$27</f>
        <v>1856556.4802400004</v>
      </c>
    </row>
    <row r="342" spans="2:11" ht="14.4" customHeight="1" x14ac:dyDescent="0.3">
      <c r="B342" s="16" t="s">
        <v>179</v>
      </c>
      <c r="C342" s="44"/>
      <c r="D342" s="89"/>
      <c r="E342" s="89"/>
      <c r="F342" s="143" t="s">
        <v>178</v>
      </c>
      <c r="G342" s="89"/>
      <c r="H342" s="89">
        <f>H189*NAV!O$27</f>
        <v>1783244.4000000001</v>
      </c>
      <c r="I342" s="89">
        <f>I189*NAV!P$27</f>
        <v>1713780.81</v>
      </c>
      <c r="J342" s="89">
        <f>J189*NAV!Q$27</f>
        <v>1820153.4120000002</v>
      </c>
      <c r="K342" s="89">
        <f>K189*NAV!R$27</f>
        <v>1856556.4802400004</v>
      </c>
    </row>
    <row r="343" spans="2:11" ht="14.4" customHeight="1" x14ac:dyDescent="0.3">
      <c r="B343" s="16" t="s">
        <v>180</v>
      </c>
      <c r="C343" s="44"/>
      <c r="D343" s="89"/>
      <c r="E343" s="89"/>
      <c r="F343" s="143" t="s">
        <v>178</v>
      </c>
      <c r="G343" s="89"/>
      <c r="H343" s="89">
        <f>H190*NAV!O$27</f>
        <v>1783244.4000000001</v>
      </c>
      <c r="I343" s="89">
        <f>I190*NAV!P$27</f>
        <v>1713780.81</v>
      </c>
      <c r="J343" s="89">
        <f>J190*NAV!Q$27</f>
        <v>1820153.4120000002</v>
      </c>
      <c r="K343" s="89">
        <f>K190*NAV!R$27</f>
        <v>1856556.4802400004</v>
      </c>
    </row>
    <row r="344" spans="2:11" ht="14.4" customHeight="1" x14ac:dyDescent="0.3">
      <c r="B344" s="16" t="s">
        <v>181</v>
      </c>
      <c r="C344" s="44"/>
      <c r="D344" s="89"/>
      <c r="E344" s="89"/>
      <c r="F344" s="143" t="s">
        <v>178</v>
      </c>
      <c r="G344" s="89"/>
      <c r="H344" s="89">
        <f>H191*NAV!O$27</f>
        <v>1783244.4000000001</v>
      </c>
      <c r="I344" s="89">
        <f>I191*NAV!P$27</f>
        <v>1713780.81</v>
      </c>
      <c r="J344" s="89">
        <f>J191*NAV!Q$27</f>
        <v>1820153.4120000002</v>
      </c>
      <c r="K344" s="89">
        <f>K191*NAV!R$27</f>
        <v>1856556.4802400004</v>
      </c>
    </row>
    <row r="345" spans="2:11" ht="14.4" customHeight="1" x14ac:dyDescent="0.3">
      <c r="B345" s="16" t="s">
        <v>182</v>
      </c>
      <c r="C345" s="44"/>
      <c r="D345" s="89"/>
      <c r="E345" s="89"/>
      <c r="F345" s="143" t="s">
        <v>178</v>
      </c>
      <c r="G345" s="89"/>
      <c r="H345" s="89">
        <f>H192*NAV!O$27</f>
        <v>1783244.4000000001</v>
      </c>
      <c r="I345" s="89">
        <f>I192*NAV!P$27</f>
        <v>1713780.81</v>
      </c>
      <c r="J345" s="89">
        <f>J192*NAV!Q$27</f>
        <v>1820153.4120000002</v>
      </c>
      <c r="K345" s="89">
        <f>K192*NAV!R$27</f>
        <v>1856556.4802400004</v>
      </c>
    </row>
    <row r="346" spans="2:11" ht="14.4" customHeight="1" x14ac:dyDescent="0.3">
      <c r="B346" s="16" t="s">
        <v>183</v>
      </c>
      <c r="C346" s="44"/>
      <c r="D346" s="89"/>
      <c r="E346" s="89"/>
      <c r="F346" s="143" t="s">
        <v>178</v>
      </c>
      <c r="G346" s="89"/>
      <c r="H346" s="89">
        <f>H193*NAV!O$27</f>
        <v>1783244.4000000001</v>
      </c>
      <c r="I346" s="89">
        <f>I193*NAV!P$27</f>
        <v>1713780.81</v>
      </c>
      <c r="J346" s="89">
        <f>J193*NAV!Q$27</f>
        <v>1820153.4120000002</v>
      </c>
      <c r="K346" s="89">
        <f>K193*NAV!R$27</f>
        <v>1856556.4802400004</v>
      </c>
    </row>
    <row r="347" spans="2:11" ht="14.4" customHeight="1" x14ac:dyDescent="0.3">
      <c r="B347" s="16" t="s">
        <v>184</v>
      </c>
      <c r="C347" s="44"/>
      <c r="D347" s="89"/>
      <c r="E347" s="89"/>
      <c r="F347" s="143" t="s">
        <v>178</v>
      </c>
      <c r="G347" s="89"/>
      <c r="H347" s="89">
        <f>H194*NAV!O$27</f>
        <v>1783244.4000000001</v>
      </c>
      <c r="I347" s="89">
        <f>I194*NAV!P$27</f>
        <v>1713780.81</v>
      </c>
      <c r="J347" s="89">
        <f>J194*NAV!Q$27</f>
        <v>1820153.4120000002</v>
      </c>
      <c r="K347" s="89">
        <f>K194*NAV!R$27</f>
        <v>1856556.4802400004</v>
      </c>
    </row>
    <row r="348" spans="2:11" ht="14.4" customHeight="1" x14ac:dyDescent="0.3">
      <c r="B348" s="16" t="s">
        <v>185</v>
      </c>
      <c r="C348" s="44"/>
      <c r="D348" s="89"/>
      <c r="E348" s="89"/>
      <c r="F348" s="143" t="s">
        <v>178</v>
      </c>
      <c r="G348" s="89"/>
      <c r="H348" s="89">
        <f>H195*NAV!O$27</f>
        <v>1783244.4000000001</v>
      </c>
      <c r="I348" s="89">
        <f>I195*NAV!P$27</f>
        <v>1713780.81</v>
      </c>
      <c r="J348" s="89">
        <f>J195*NAV!Q$27</f>
        <v>1820153.4120000002</v>
      </c>
      <c r="K348" s="89">
        <f>K195*NAV!R$27</f>
        <v>1856556.4802400004</v>
      </c>
    </row>
    <row r="349" spans="2:11" ht="14.4" customHeight="1" x14ac:dyDescent="0.3">
      <c r="B349" s="16" t="s">
        <v>186</v>
      </c>
      <c r="C349" s="44"/>
      <c r="D349" s="89"/>
      <c r="E349" s="89"/>
      <c r="F349" s="143" t="s">
        <v>178</v>
      </c>
      <c r="G349" s="89"/>
      <c r="H349" s="89">
        <f>H196*NAV!O$27</f>
        <v>1783244.4000000001</v>
      </c>
      <c r="I349" s="89">
        <f>I196*NAV!P$27</f>
        <v>1713780.81</v>
      </c>
      <c r="J349" s="89">
        <f>J196*NAV!Q$27</f>
        <v>1820153.4120000002</v>
      </c>
      <c r="K349" s="89">
        <f>K196*NAV!R$27</f>
        <v>1856556.4802400004</v>
      </c>
    </row>
    <row r="350" spans="2:11" ht="14.4" customHeight="1" x14ac:dyDescent="0.3">
      <c r="B350" s="16" t="s">
        <v>324</v>
      </c>
      <c r="C350" s="44"/>
      <c r="D350" s="89"/>
      <c r="E350" s="89"/>
      <c r="F350" s="143" t="s">
        <v>178</v>
      </c>
      <c r="G350" s="89"/>
      <c r="H350" s="89">
        <f>H197*NAV!O$27</f>
        <v>1783244.4000000001</v>
      </c>
      <c r="I350" s="89">
        <f>I197*NAV!P$27</f>
        <v>1713780.81</v>
      </c>
      <c r="J350" s="89">
        <f>J197*NAV!Q$27</f>
        <v>1820153.4120000002</v>
      </c>
      <c r="K350" s="89">
        <f>K197*NAV!R$27</f>
        <v>1856556.4802400004</v>
      </c>
    </row>
    <row r="351" spans="2:11" ht="14.4" customHeight="1" x14ac:dyDescent="0.3">
      <c r="B351" s="16" t="s">
        <v>325</v>
      </c>
      <c r="C351" s="44"/>
      <c r="D351" s="89"/>
      <c r="E351" s="89"/>
      <c r="F351" s="143" t="s">
        <v>178</v>
      </c>
      <c r="G351" s="89"/>
      <c r="H351" s="89">
        <f>H198*NAV!O$27</f>
        <v>1783244.4000000001</v>
      </c>
      <c r="I351" s="89">
        <f>I198*NAV!P$27</f>
        <v>1713780.81</v>
      </c>
      <c r="J351" s="89">
        <f>J198*NAV!Q$27</f>
        <v>1820153.4120000002</v>
      </c>
      <c r="K351" s="89">
        <f>K198*NAV!R$27</f>
        <v>1856556.4802400004</v>
      </c>
    </row>
    <row r="352" spans="2:11" ht="14.4" customHeight="1" x14ac:dyDescent="0.3">
      <c r="B352" s="141" t="s">
        <v>326</v>
      </c>
      <c r="C352" s="79"/>
      <c r="D352" s="89"/>
      <c r="E352" s="89"/>
      <c r="F352" s="78" t="s">
        <v>178</v>
      </c>
      <c r="G352" s="89"/>
      <c r="H352" s="89">
        <f>H199*NAV!O$27</f>
        <v>1783244.4000000001</v>
      </c>
      <c r="I352" s="89">
        <f>I199*NAV!P$27</f>
        <v>1713780.81</v>
      </c>
      <c r="J352" s="89">
        <f>J199*NAV!Q$27</f>
        <v>1820153.4120000002</v>
      </c>
      <c r="K352" s="89">
        <f>K199*NAV!R$27</f>
        <v>1856556.4802400004</v>
      </c>
    </row>
    <row r="353" spans="2:11" ht="14.4" customHeight="1" x14ac:dyDescent="0.3">
      <c r="B353" s="89"/>
      <c r="C353" s="89"/>
      <c r="D353" s="89"/>
      <c r="E353" s="89"/>
      <c r="F353" s="89"/>
      <c r="G353" s="89"/>
      <c r="H353" s="89"/>
      <c r="I353" s="89"/>
      <c r="J353" s="89"/>
      <c r="K353" s="89"/>
    </row>
    <row r="354" spans="2:11" ht="14.4" customHeight="1" x14ac:dyDescent="0.3">
      <c r="B354" s="89"/>
      <c r="C354" s="89"/>
      <c r="D354" s="89"/>
      <c r="E354" s="89"/>
      <c r="F354" s="89"/>
      <c r="G354" s="89"/>
      <c r="H354" s="89"/>
      <c r="I354" s="89"/>
      <c r="J354" s="89"/>
      <c r="K354" s="89"/>
    </row>
    <row r="355" spans="2:11" ht="14.4" customHeight="1" x14ac:dyDescent="0.3">
      <c r="B355" s="89"/>
      <c r="C355" s="89"/>
      <c r="D355" s="89"/>
      <c r="E355" s="89"/>
      <c r="F355" s="89"/>
      <c r="G355" s="89"/>
      <c r="H355" s="89"/>
      <c r="I355" s="89"/>
      <c r="J355" s="89"/>
      <c r="K355" s="89"/>
    </row>
    <row r="356" spans="2:11" ht="14.4" customHeight="1" x14ac:dyDescent="0.3">
      <c r="B356" s="89"/>
      <c r="C356" s="89"/>
      <c r="D356" s="89"/>
      <c r="E356" s="89"/>
      <c r="F356" s="89"/>
      <c r="G356" s="89"/>
      <c r="H356" s="89"/>
      <c r="I356" s="89"/>
      <c r="J356" s="89"/>
      <c r="K356" s="89"/>
    </row>
    <row r="357" spans="2:11" ht="14.4" customHeight="1" x14ac:dyDescent="0.3">
      <c r="B357" s="89"/>
      <c r="C357" s="89"/>
      <c r="D357" s="89"/>
      <c r="E357" s="89"/>
      <c r="F357" s="89"/>
      <c r="G357" s="89"/>
      <c r="H357" s="89"/>
      <c r="I357" s="89"/>
      <c r="J357" s="89"/>
      <c r="K357" s="89"/>
    </row>
    <row r="358" spans="2:11" ht="14.4" customHeight="1" x14ac:dyDescent="0.3">
      <c r="B358" s="89"/>
      <c r="C358" s="89"/>
      <c r="D358" s="89"/>
      <c r="E358" s="89"/>
      <c r="F358" s="89"/>
      <c r="G358" s="89"/>
      <c r="H358" s="89"/>
      <c r="I358" s="89"/>
      <c r="J358" s="89"/>
      <c r="K358" s="89"/>
    </row>
    <row r="359" spans="2:11" ht="14.4" customHeight="1" x14ac:dyDescent="0.3">
      <c r="B359" s="89"/>
      <c r="C359" s="89"/>
      <c r="D359" s="89"/>
      <c r="E359" s="89"/>
      <c r="F359" s="89"/>
      <c r="G359" s="89"/>
      <c r="H359" s="89"/>
      <c r="I359" s="89"/>
      <c r="J359" s="89"/>
      <c r="K359" s="89"/>
    </row>
    <row r="360" spans="2:11" ht="14.4" customHeight="1" x14ac:dyDescent="0.3">
      <c r="B360" s="89"/>
      <c r="C360" s="89"/>
      <c r="D360" s="89"/>
      <c r="E360" s="89"/>
      <c r="F360" s="89"/>
      <c r="G360" s="89"/>
      <c r="H360" s="89"/>
      <c r="I360" s="89"/>
      <c r="J360" s="89"/>
      <c r="K360" s="89"/>
    </row>
    <row r="361" spans="2:11" ht="14.4" customHeight="1" x14ac:dyDescent="0.3">
      <c r="B361" s="89"/>
      <c r="C361" s="89"/>
      <c r="D361" s="89"/>
      <c r="E361" s="89"/>
      <c r="F361" s="89"/>
      <c r="G361" s="89"/>
      <c r="H361" s="89"/>
      <c r="I361" s="89"/>
      <c r="J361" s="89"/>
      <c r="K361" s="89"/>
    </row>
    <row r="362" spans="2:11" ht="14.4" customHeight="1" x14ac:dyDescent="0.3">
      <c r="B362" s="89"/>
      <c r="C362" s="89"/>
      <c r="D362" s="89"/>
      <c r="E362" s="89"/>
      <c r="F362" s="89"/>
      <c r="G362" s="89"/>
      <c r="H362" s="89"/>
      <c r="I362" s="89"/>
      <c r="J362" s="89"/>
      <c r="K362" s="89"/>
    </row>
    <row r="363" spans="2:11" ht="14.4" customHeight="1" x14ac:dyDescent="0.3">
      <c r="B363" s="89"/>
      <c r="C363" s="89"/>
      <c r="D363" s="89"/>
      <c r="E363" s="89"/>
      <c r="F363" s="89"/>
      <c r="G363" s="89"/>
      <c r="H363" s="89"/>
      <c r="I363" s="89"/>
      <c r="J363" s="89"/>
      <c r="K363" s="89"/>
    </row>
    <row r="364" spans="2:11" ht="14.4" customHeight="1" x14ac:dyDescent="0.3">
      <c r="B364" s="89"/>
      <c r="C364" s="89"/>
      <c r="D364" s="89"/>
      <c r="E364" s="89"/>
      <c r="F364" s="89"/>
      <c r="G364" s="89"/>
      <c r="H364" s="89"/>
      <c r="I364" s="89"/>
      <c r="J364" s="89"/>
      <c r="K364" s="89"/>
    </row>
    <row r="365" spans="2:11" ht="14.4" customHeight="1" x14ac:dyDescent="0.3">
      <c r="B365" s="89"/>
      <c r="C365" s="89"/>
      <c r="D365" s="89"/>
      <c r="E365" s="89"/>
      <c r="F365" s="89"/>
      <c r="G365" s="89"/>
      <c r="H365" s="89"/>
      <c r="I365" s="89"/>
      <c r="J365" s="89"/>
      <c r="K365" s="89"/>
    </row>
    <row r="366" spans="2:11" ht="14.4" customHeight="1" x14ac:dyDescent="0.3">
      <c r="B366" s="89"/>
      <c r="C366" s="89"/>
      <c r="D366" s="89"/>
      <c r="E366" s="89"/>
      <c r="F366" s="89"/>
      <c r="G366" s="89"/>
      <c r="H366" s="89"/>
      <c r="I366" s="89"/>
      <c r="J366" s="89"/>
      <c r="K366" s="89"/>
    </row>
    <row r="367" spans="2:11" ht="14.4" customHeight="1" x14ac:dyDescent="0.3">
      <c r="B367" s="89"/>
      <c r="C367" s="89"/>
      <c r="D367" s="89"/>
      <c r="E367" s="89"/>
      <c r="F367" s="89"/>
      <c r="G367" s="89"/>
      <c r="H367" s="89"/>
      <c r="I367" s="89"/>
      <c r="J367" s="89"/>
      <c r="K367" s="89"/>
    </row>
    <row r="368" spans="2:11" ht="14.4" customHeight="1" x14ac:dyDescent="0.3">
      <c r="B368" s="89"/>
      <c r="C368" s="89"/>
      <c r="D368" s="89"/>
      <c r="E368" s="89"/>
      <c r="F368" s="89"/>
      <c r="G368" s="89"/>
      <c r="H368" s="89"/>
      <c r="I368" s="89"/>
      <c r="J368" s="89"/>
      <c r="K368" s="89"/>
    </row>
    <row r="369" spans="2:11" ht="14.4" customHeight="1" x14ac:dyDescent="0.3">
      <c r="B369" s="89"/>
      <c r="C369" s="89"/>
      <c r="D369" s="89"/>
      <c r="E369" s="89"/>
      <c r="F369" s="89"/>
      <c r="G369" s="89"/>
      <c r="H369" s="89"/>
      <c r="I369" s="89"/>
      <c r="J369" s="89"/>
      <c r="K369" s="89"/>
    </row>
    <row r="370" spans="2:11" ht="14.4" customHeight="1" x14ac:dyDescent="0.3">
      <c r="B370" s="89"/>
      <c r="C370" s="89"/>
      <c r="D370" s="89"/>
      <c r="E370" s="89"/>
      <c r="F370" s="89"/>
      <c r="G370" s="89"/>
      <c r="H370" s="89"/>
      <c r="I370" s="89"/>
      <c r="J370" s="89"/>
      <c r="K370" s="89"/>
    </row>
    <row r="371" spans="2:11" ht="14.4" customHeight="1" x14ac:dyDescent="0.3">
      <c r="B371" s="89"/>
      <c r="C371" s="89"/>
      <c r="D371" s="89"/>
      <c r="E371" s="89"/>
      <c r="F371" s="89"/>
      <c r="G371" s="89"/>
      <c r="H371" s="89"/>
      <c r="I371" s="89"/>
      <c r="J371" s="89"/>
      <c r="K371" s="89"/>
    </row>
    <row r="372" spans="2:11" ht="14.4" customHeight="1" x14ac:dyDescent="0.3">
      <c r="B372" s="89"/>
      <c r="C372" s="89"/>
      <c r="D372" s="89"/>
      <c r="E372" s="89"/>
      <c r="F372" s="89"/>
      <c r="G372" s="89"/>
      <c r="H372" s="89"/>
      <c r="I372" s="89"/>
      <c r="J372" s="89"/>
      <c r="K372" s="89"/>
    </row>
    <row r="373" spans="2:11" ht="14.4" customHeight="1" x14ac:dyDescent="0.3">
      <c r="B373" s="89"/>
      <c r="C373" s="89"/>
      <c r="D373" s="89"/>
      <c r="E373" s="89"/>
      <c r="F373" s="89"/>
      <c r="G373" s="89"/>
      <c r="H373" s="89"/>
      <c r="I373" s="89"/>
      <c r="J373" s="89"/>
      <c r="K373" s="89"/>
    </row>
    <row r="374" spans="2:11" ht="14.4" customHeight="1" x14ac:dyDescent="0.3">
      <c r="B374" s="89"/>
      <c r="C374" s="89"/>
      <c r="D374" s="89"/>
      <c r="E374" s="89"/>
      <c r="F374" s="89"/>
      <c r="G374" s="89"/>
      <c r="H374" s="89"/>
      <c r="I374" s="89"/>
      <c r="J374" s="89"/>
      <c r="K374" s="89"/>
    </row>
    <row r="375" spans="2:11" ht="14.4" customHeight="1" x14ac:dyDescent="0.3">
      <c r="B375" s="89"/>
      <c r="C375" s="89"/>
      <c r="D375" s="89"/>
      <c r="E375" s="89"/>
      <c r="F375" s="89"/>
      <c r="G375" s="89"/>
      <c r="H375" s="89"/>
      <c r="I375" s="89"/>
      <c r="J375" s="89"/>
      <c r="K375" s="89"/>
    </row>
    <row r="376" spans="2:11" ht="14.4" customHeight="1" x14ac:dyDescent="0.3">
      <c r="B376" s="89"/>
      <c r="C376" s="89"/>
      <c r="D376" s="89"/>
      <c r="E376" s="89"/>
      <c r="F376" s="89"/>
      <c r="G376" s="89"/>
      <c r="H376" s="89"/>
      <c r="I376" s="89"/>
      <c r="J376" s="89"/>
      <c r="K376" s="89"/>
    </row>
    <row r="377" spans="2:11" ht="14.4" customHeight="1" x14ac:dyDescent="0.3">
      <c r="B377" s="89"/>
      <c r="C377" s="89"/>
      <c r="D377" s="89"/>
      <c r="E377" s="89"/>
      <c r="F377" s="89"/>
      <c r="G377" s="89"/>
      <c r="H377" s="89"/>
      <c r="I377" s="89"/>
      <c r="J377" s="89"/>
      <c r="K377" s="89"/>
    </row>
    <row r="378" spans="2:11" ht="14.4" customHeight="1" x14ac:dyDescent="0.3">
      <c r="B378" s="89"/>
      <c r="C378" s="89"/>
      <c r="D378" s="89"/>
      <c r="E378" s="89"/>
      <c r="F378" s="89"/>
      <c r="G378" s="89"/>
      <c r="H378" s="89"/>
      <c r="I378" s="89"/>
      <c r="J378" s="89"/>
      <c r="K378" s="89"/>
    </row>
    <row r="379" spans="2:11" ht="14.4" customHeight="1" x14ac:dyDescent="0.3">
      <c r="B379" s="89"/>
      <c r="C379" s="89"/>
      <c r="D379" s="89"/>
      <c r="E379" s="89"/>
      <c r="F379" s="89"/>
      <c r="G379" s="89"/>
      <c r="H379" s="89"/>
      <c r="I379" s="89"/>
      <c r="J379" s="89"/>
      <c r="K379" s="89"/>
    </row>
    <row r="380" spans="2:11" ht="14.4" customHeight="1" x14ac:dyDescent="0.3">
      <c r="B380" s="89"/>
      <c r="C380" s="89"/>
      <c r="D380" s="89"/>
      <c r="E380" s="89"/>
      <c r="F380" s="89"/>
      <c r="G380" s="89"/>
      <c r="H380" s="89"/>
      <c r="I380" s="89"/>
      <c r="J380" s="89"/>
      <c r="K380" s="89"/>
    </row>
    <row r="381" spans="2:11" ht="14.4" customHeight="1" x14ac:dyDescent="0.3">
      <c r="B381" s="89"/>
      <c r="C381" s="89"/>
      <c r="D381" s="89"/>
      <c r="E381" s="89"/>
      <c r="F381" s="89"/>
      <c r="G381" s="89"/>
      <c r="H381" s="89"/>
      <c r="I381" s="89"/>
      <c r="J381" s="89"/>
      <c r="K381" s="89"/>
    </row>
    <row r="382" spans="2:11" ht="14.4" customHeight="1" x14ac:dyDescent="0.3">
      <c r="B382" s="89"/>
      <c r="C382" s="89"/>
      <c r="D382" s="89"/>
      <c r="E382" s="89"/>
      <c r="F382" s="89"/>
      <c r="G382" s="89"/>
      <c r="H382" s="89"/>
      <c r="I382" s="89"/>
      <c r="J382" s="89"/>
      <c r="K382" s="89"/>
    </row>
    <row r="383" spans="2:11" ht="14.4" customHeight="1" x14ac:dyDescent="0.3">
      <c r="B383" s="89"/>
      <c r="C383" s="89"/>
      <c r="D383" s="89"/>
      <c r="E383" s="89"/>
      <c r="F383" s="89"/>
      <c r="G383" s="89"/>
      <c r="H383" s="89"/>
      <c r="I383" s="89"/>
      <c r="J383" s="89"/>
      <c r="K383" s="89"/>
    </row>
    <row r="384" spans="2:11" ht="14.4" customHeight="1" x14ac:dyDescent="0.3">
      <c r="B384" s="89"/>
      <c r="C384" s="89"/>
      <c r="D384" s="89"/>
      <c r="E384" s="89"/>
      <c r="F384" s="89"/>
      <c r="G384" s="89"/>
      <c r="H384" s="89"/>
      <c r="I384" s="89"/>
      <c r="J384" s="89"/>
      <c r="K384" s="89"/>
    </row>
    <row r="385" spans="2:11" ht="14.4" customHeight="1" x14ac:dyDescent="0.3">
      <c r="B385" s="89"/>
      <c r="C385" s="89"/>
      <c r="D385" s="89"/>
      <c r="E385" s="89"/>
      <c r="F385" s="89"/>
      <c r="G385" s="89"/>
      <c r="H385" s="89"/>
      <c r="I385" s="89"/>
      <c r="J385" s="89"/>
      <c r="K385" s="89"/>
    </row>
    <row r="386" spans="2:11" ht="14.4" customHeight="1" x14ac:dyDescent="0.3">
      <c r="B386" s="89"/>
      <c r="C386" s="89"/>
      <c r="D386" s="89"/>
      <c r="E386" s="89"/>
      <c r="F386" s="89"/>
      <c r="G386" s="89"/>
      <c r="H386" s="89"/>
      <c r="I386" s="89"/>
      <c r="J386" s="89"/>
      <c r="K386" s="89"/>
    </row>
    <row r="387" spans="2:11" ht="14.4" customHeight="1" x14ac:dyDescent="0.3">
      <c r="B387" s="89"/>
      <c r="C387" s="89"/>
      <c r="D387" s="89"/>
      <c r="E387" s="89"/>
      <c r="F387" s="89"/>
      <c r="G387" s="89"/>
      <c r="H387" s="89"/>
      <c r="I387" s="89"/>
      <c r="J387" s="89"/>
      <c r="K387" s="89"/>
    </row>
    <row r="388" spans="2:11" ht="14.4" customHeight="1" x14ac:dyDescent="0.3">
      <c r="B388" s="89"/>
      <c r="C388" s="89"/>
      <c r="D388" s="89"/>
      <c r="E388" s="89"/>
      <c r="F388" s="89"/>
      <c r="G388" s="89"/>
      <c r="H388" s="89"/>
      <c r="I388" s="89"/>
      <c r="J388" s="89"/>
      <c r="K388" s="89"/>
    </row>
    <row r="389" spans="2:11" ht="14.4" customHeight="1" x14ac:dyDescent="0.3">
      <c r="B389" s="89"/>
      <c r="C389" s="89"/>
      <c r="D389" s="89"/>
      <c r="E389" s="89"/>
      <c r="F389" s="89"/>
      <c r="G389" s="89"/>
      <c r="H389" s="89"/>
      <c r="I389" s="89"/>
      <c r="J389" s="89"/>
      <c r="K389" s="89"/>
    </row>
    <row r="390" spans="2:11" ht="14.4" customHeight="1" x14ac:dyDescent="0.3">
      <c r="B390" s="89"/>
      <c r="C390" s="89"/>
      <c r="D390" s="89"/>
      <c r="E390" s="89"/>
      <c r="F390" s="89"/>
      <c r="G390" s="89"/>
      <c r="H390" s="89"/>
      <c r="I390" s="89"/>
      <c r="J390" s="89"/>
      <c r="K390" s="89"/>
    </row>
    <row r="391" spans="2:11" ht="14.4" customHeight="1" x14ac:dyDescent="0.3">
      <c r="B391" s="89"/>
      <c r="C391" s="89"/>
      <c r="D391" s="89"/>
      <c r="E391" s="89"/>
      <c r="F391" s="89"/>
      <c r="G391" s="89"/>
      <c r="H391" s="89"/>
      <c r="I391" s="89"/>
      <c r="J391" s="89"/>
      <c r="K391" s="89"/>
    </row>
    <row r="392" spans="2:11" ht="14.4" customHeight="1" x14ac:dyDescent="0.3">
      <c r="B392" s="89"/>
      <c r="C392" s="89"/>
      <c r="D392" s="89"/>
      <c r="E392" s="89"/>
      <c r="F392" s="89"/>
      <c r="G392" s="89"/>
      <c r="H392" s="89"/>
      <c r="I392" s="89"/>
      <c r="J392" s="89"/>
      <c r="K392" s="89"/>
    </row>
    <row r="393" spans="2:11" ht="14.4" customHeight="1" x14ac:dyDescent="0.3">
      <c r="B393" s="89"/>
      <c r="C393" s="89"/>
      <c r="D393" s="89"/>
      <c r="E393" s="89"/>
      <c r="F393" s="89"/>
      <c r="G393" s="89"/>
      <c r="H393" s="89"/>
      <c r="I393" s="89"/>
      <c r="J393" s="89"/>
      <c r="K393" s="89"/>
    </row>
    <row r="394" spans="2:11" ht="14.4" customHeight="1" x14ac:dyDescent="0.3">
      <c r="B394" s="89"/>
      <c r="C394" s="89"/>
      <c r="D394" s="89"/>
      <c r="E394" s="89"/>
      <c r="F394" s="89"/>
      <c r="G394" s="89"/>
      <c r="H394" s="89"/>
      <c r="I394" s="89"/>
      <c r="J394" s="89"/>
      <c r="K394" s="89"/>
    </row>
    <row r="395" spans="2:11" ht="14.4" customHeight="1" x14ac:dyDescent="0.3">
      <c r="B395" s="89"/>
      <c r="C395" s="89"/>
      <c r="D395" s="89"/>
      <c r="E395" s="89"/>
      <c r="F395" s="89"/>
      <c r="G395" s="89"/>
      <c r="H395" s="89"/>
      <c r="I395" s="89"/>
      <c r="J395" s="89"/>
      <c r="K395" s="89"/>
    </row>
    <row r="396" spans="2:11" ht="14.4" customHeight="1" x14ac:dyDescent="0.3">
      <c r="B396" s="89"/>
      <c r="C396" s="89"/>
      <c r="D396" s="89"/>
      <c r="E396" s="89"/>
      <c r="F396" s="89"/>
      <c r="G396" s="89"/>
      <c r="H396" s="89"/>
      <c r="I396" s="89"/>
      <c r="J396" s="89"/>
      <c r="K396" s="89"/>
    </row>
    <row r="397" spans="2:11" ht="14.4" customHeight="1" x14ac:dyDescent="0.3">
      <c r="B397" s="89"/>
      <c r="C397" s="89"/>
      <c r="D397" s="89"/>
      <c r="E397" s="89"/>
      <c r="F397" s="89"/>
      <c r="G397" s="89"/>
      <c r="H397" s="89"/>
      <c r="I397" s="89"/>
      <c r="J397" s="89"/>
      <c r="K397" s="89"/>
    </row>
    <row r="398" spans="2:11" ht="14.4" customHeight="1" x14ac:dyDescent="0.3">
      <c r="B398" s="89"/>
      <c r="C398" s="89"/>
      <c r="D398" s="89"/>
      <c r="E398" s="89"/>
      <c r="F398" s="89"/>
      <c r="G398" s="89"/>
      <c r="H398" s="89"/>
      <c r="I398" s="89"/>
      <c r="J398" s="89"/>
      <c r="K398" s="89"/>
    </row>
    <row r="399" spans="2:11" ht="14.4" customHeight="1" x14ac:dyDescent="0.3">
      <c r="B399" s="89"/>
      <c r="C399" s="89"/>
      <c r="D399" s="89"/>
      <c r="E399" s="89"/>
      <c r="F399" s="89"/>
      <c r="G399" s="89"/>
      <c r="H399" s="89"/>
      <c r="I399" s="89"/>
      <c r="J399" s="89"/>
      <c r="K399" s="89"/>
    </row>
    <row r="400" spans="2:11" ht="14.4" customHeight="1" x14ac:dyDescent="0.3">
      <c r="B400" s="89"/>
      <c r="C400" s="89"/>
      <c r="D400" s="89"/>
      <c r="E400" s="89"/>
      <c r="F400" s="89"/>
      <c r="G400" s="89"/>
      <c r="H400" s="89"/>
      <c r="I400" s="89"/>
      <c r="J400" s="89"/>
      <c r="K400" s="89"/>
    </row>
    <row r="401" spans="2:11" ht="14.4" customHeight="1" x14ac:dyDescent="0.3">
      <c r="B401" s="89"/>
      <c r="C401" s="89"/>
      <c r="D401" s="89"/>
      <c r="E401" s="89"/>
      <c r="F401" s="89"/>
      <c r="G401" s="89"/>
      <c r="H401" s="89"/>
      <c r="I401" s="89"/>
      <c r="J401" s="89"/>
      <c r="K401" s="89"/>
    </row>
    <row r="402" spans="2:11" ht="14.4" customHeight="1" x14ac:dyDescent="0.3">
      <c r="B402" s="89"/>
      <c r="C402" s="89"/>
      <c r="D402" s="89"/>
      <c r="E402" s="89"/>
      <c r="F402" s="89"/>
      <c r="G402" s="89"/>
      <c r="H402" s="89"/>
      <c r="I402" s="89"/>
      <c r="J402" s="89"/>
      <c r="K402" s="89"/>
    </row>
    <row r="403" spans="2:11" ht="14.4" customHeight="1" x14ac:dyDescent="0.3">
      <c r="B403" s="89"/>
      <c r="C403" s="89"/>
      <c r="D403" s="89"/>
      <c r="E403" s="89"/>
      <c r="F403" s="89"/>
      <c r="G403" s="89"/>
      <c r="H403" s="89"/>
      <c r="I403" s="89"/>
      <c r="J403" s="89"/>
      <c r="K403" s="89"/>
    </row>
    <row r="404" spans="2:11" ht="14.4" customHeight="1" x14ac:dyDescent="0.3">
      <c r="B404" s="89"/>
      <c r="C404" s="89"/>
      <c r="D404" s="89"/>
      <c r="E404" s="89"/>
      <c r="F404" s="89"/>
      <c r="G404" s="89"/>
      <c r="H404" s="89"/>
      <c r="I404" s="89"/>
      <c r="J404" s="89"/>
      <c r="K404" s="89"/>
    </row>
    <row r="405" spans="2:11" ht="14.4" customHeight="1" x14ac:dyDescent="0.3">
      <c r="B405" s="89"/>
      <c r="C405" s="89"/>
      <c r="D405" s="89"/>
      <c r="E405" s="89"/>
      <c r="F405" s="89"/>
      <c r="G405" s="89"/>
      <c r="H405" s="89"/>
      <c r="I405" s="89"/>
      <c r="J405" s="89"/>
      <c r="K405" s="89"/>
    </row>
    <row r="406" spans="2:11" ht="14.4" customHeight="1" x14ac:dyDescent="0.3">
      <c r="B406" s="89"/>
      <c r="C406" s="89"/>
      <c r="D406" s="89"/>
      <c r="E406" s="89"/>
      <c r="F406" s="89"/>
      <c r="G406" s="89"/>
      <c r="H406" s="89"/>
      <c r="I406" s="89"/>
      <c r="J406" s="89"/>
      <c r="K406" s="89"/>
    </row>
    <row r="407" spans="2:11" ht="14.4" customHeight="1" x14ac:dyDescent="0.3">
      <c r="B407" s="89"/>
      <c r="C407" s="89"/>
      <c r="D407" s="89"/>
      <c r="E407" s="89"/>
      <c r="F407" s="89"/>
      <c r="G407" s="89"/>
      <c r="H407" s="89"/>
      <c r="I407" s="89"/>
      <c r="J407" s="89"/>
      <c r="K407" s="89"/>
    </row>
    <row r="408" spans="2:11" ht="14.4" customHeight="1" x14ac:dyDescent="0.3">
      <c r="B408" s="89"/>
      <c r="C408" s="89"/>
      <c r="D408" s="89"/>
      <c r="E408" s="89"/>
      <c r="F408" s="89"/>
      <c r="G408" s="89"/>
      <c r="H408" s="89"/>
      <c r="I408" s="89"/>
      <c r="J408" s="89"/>
      <c r="K408" s="89"/>
    </row>
    <row r="409" spans="2:11" ht="14.4" customHeight="1" x14ac:dyDescent="0.3">
      <c r="B409" s="89"/>
      <c r="C409" s="89"/>
      <c r="D409" s="89"/>
      <c r="E409" s="89"/>
      <c r="F409" s="89"/>
      <c r="G409" s="89"/>
      <c r="H409" s="89"/>
      <c r="I409" s="89"/>
      <c r="J409" s="89"/>
      <c r="K409" s="89"/>
    </row>
    <row r="410" spans="2:11" ht="14.4" customHeight="1" x14ac:dyDescent="0.3">
      <c r="B410" s="89"/>
      <c r="C410" s="89"/>
      <c r="D410" s="89"/>
      <c r="E410" s="89"/>
      <c r="F410" s="89"/>
      <c r="G410" s="89"/>
      <c r="H410" s="89"/>
      <c r="I410" s="89"/>
      <c r="J410" s="89"/>
      <c r="K410" s="89"/>
    </row>
    <row r="411" spans="2:11" ht="14.4" customHeight="1" x14ac:dyDescent="0.3">
      <c r="B411" s="89"/>
      <c r="C411" s="89"/>
      <c r="D411" s="89"/>
      <c r="E411" s="89"/>
      <c r="F411" s="89"/>
      <c r="G411" s="89"/>
      <c r="H411" s="89"/>
      <c r="I411" s="89"/>
      <c r="J411" s="89"/>
      <c r="K411" s="89"/>
    </row>
    <row r="412" spans="2:11" ht="14.4" customHeight="1" x14ac:dyDescent="0.3">
      <c r="B412" s="89"/>
      <c r="C412" s="89"/>
      <c r="D412" s="89"/>
      <c r="E412" s="89"/>
      <c r="F412" s="89"/>
      <c r="G412" s="89"/>
      <c r="H412" s="89"/>
      <c r="I412" s="89"/>
      <c r="J412" s="89"/>
      <c r="K412" s="89"/>
    </row>
    <row r="413" spans="2:11" ht="14.4" customHeight="1" x14ac:dyDescent="0.3">
      <c r="B413" s="89"/>
      <c r="C413" s="89"/>
      <c r="D413" s="89"/>
      <c r="E413" s="89"/>
      <c r="F413" s="89"/>
      <c r="G413" s="89"/>
      <c r="H413" s="89"/>
      <c r="I413" s="89"/>
      <c r="J413" s="89"/>
      <c r="K413" s="89"/>
    </row>
    <row r="414" spans="2:11" ht="14.4" customHeight="1" x14ac:dyDescent="0.3">
      <c r="B414" s="89"/>
      <c r="C414" s="89"/>
      <c r="D414" s="89"/>
      <c r="E414" s="89"/>
      <c r="F414" s="89"/>
      <c r="G414" s="89"/>
      <c r="H414" s="89"/>
      <c r="I414" s="89"/>
      <c r="J414" s="89"/>
      <c r="K414" s="89"/>
    </row>
    <row r="415" spans="2:11" ht="14.4" customHeight="1" x14ac:dyDescent="0.3">
      <c r="B415" s="89"/>
      <c r="C415" s="89"/>
      <c r="D415" s="89"/>
      <c r="E415" s="89"/>
      <c r="F415" s="89"/>
      <c r="G415" s="89"/>
      <c r="H415" s="89"/>
      <c r="I415" s="89"/>
      <c r="J415" s="89"/>
      <c r="K415" s="89"/>
    </row>
    <row r="416" spans="2:11" ht="14.4" customHeight="1" x14ac:dyDescent="0.3">
      <c r="B416" s="89"/>
      <c r="C416" s="89"/>
      <c r="D416" s="89"/>
      <c r="E416" s="89"/>
      <c r="F416" s="89"/>
      <c r="G416" s="89"/>
      <c r="H416" s="89"/>
      <c r="I416" s="89"/>
      <c r="J416" s="89"/>
      <c r="K416" s="89"/>
    </row>
    <row r="417" spans="2:11" ht="14.4" customHeight="1" x14ac:dyDescent="0.3">
      <c r="B417" s="89"/>
      <c r="C417" s="89"/>
      <c r="D417" s="89"/>
      <c r="E417" s="89"/>
      <c r="F417" s="89"/>
      <c r="G417" s="89"/>
      <c r="H417" s="89"/>
      <c r="I417" s="89"/>
      <c r="J417" s="89"/>
      <c r="K417" s="89"/>
    </row>
    <row r="418" spans="2:11" ht="14.4" customHeight="1" x14ac:dyDescent="0.3">
      <c r="B418" s="89"/>
      <c r="C418" s="89"/>
      <c r="D418" s="89"/>
      <c r="E418" s="89"/>
      <c r="F418" s="89"/>
      <c r="G418" s="89"/>
      <c r="H418" s="89"/>
      <c r="I418" s="89"/>
      <c r="J418" s="89"/>
      <c r="K418" s="89"/>
    </row>
    <row r="419" spans="2:11" ht="14.4" customHeight="1" x14ac:dyDescent="0.3">
      <c r="B419" s="89"/>
      <c r="C419" s="89"/>
      <c r="D419" s="89"/>
      <c r="E419" s="89"/>
      <c r="F419" s="89"/>
      <c r="G419" s="89"/>
      <c r="H419" s="89"/>
      <c r="I419" s="89"/>
      <c r="J419" s="89"/>
      <c r="K419" s="89"/>
    </row>
    <row r="420" spans="2:11" ht="14.4" customHeight="1" x14ac:dyDescent="0.3">
      <c r="B420" s="89"/>
      <c r="C420" s="89"/>
      <c r="D420" s="89"/>
      <c r="E420" s="89"/>
      <c r="F420" s="89"/>
      <c r="G420" s="89"/>
      <c r="H420" s="89"/>
      <c r="I420" s="89"/>
      <c r="J420" s="89"/>
      <c r="K420" s="89"/>
    </row>
    <row r="421" spans="2:11" ht="14.4" customHeight="1" x14ac:dyDescent="0.3">
      <c r="B421" s="89"/>
      <c r="C421" s="89"/>
      <c r="D421" s="89"/>
      <c r="E421" s="89"/>
      <c r="F421" s="89"/>
      <c r="G421" s="89"/>
      <c r="H421" s="89"/>
      <c r="I421" s="89"/>
      <c r="J421" s="89"/>
      <c r="K421" s="89"/>
    </row>
    <row r="422" spans="2:11" ht="14.4" customHeight="1" x14ac:dyDescent="0.3">
      <c r="B422" s="89"/>
      <c r="C422" s="89"/>
      <c r="D422" s="89"/>
      <c r="E422" s="89"/>
      <c r="F422" s="89"/>
      <c r="G422" s="89"/>
      <c r="H422" s="89"/>
      <c r="I422" s="89"/>
      <c r="J422" s="89"/>
      <c r="K422" s="89"/>
    </row>
    <row r="423" spans="2:11" ht="14.4" customHeight="1" x14ac:dyDescent="0.3">
      <c r="B423" s="89"/>
      <c r="C423" s="89"/>
      <c r="D423" s="89"/>
      <c r="E423" s="89"/>
      <c r="F423" s="89"/>
      <c r="G423" s="89"/>
      <c r="H423" s="89"/>
      <c r="I423" s="89"/>
      <c r="J423" s="89"/>
      <c r="K423" s="89"/>
    </row>
    <row r="424" spans="2:11" ht="14.4" customHeight="1" x14ac:dyDescent="0.3">
      <c r="B424" s="89"/>
      <c r="C424" s="89"/>
      <c r="D424" s="89"/>
      <c r="E424" s="89"/>
      <c r="F424" s="89"/>
      <c r="G424" s="89"/>
      <c r="H424" s="89"/>
      <c r="I424" s="89"/>
      <c r="J424" s="89"/>
      <c r="K424" s="89"/>
    </row>
    <row r="425" spans="2:11" ht="14.4" customHeight="1" x14ac:dyDescent="0.3">
      <c r="B425" s="89"/>
      <c r="C425" s="89"/>
      <c r="D425" s="89"/>
      <c r="E425" s="89"/>
      <c r="F425" s="89"/>
      <c r="G425" s="89"/>
      <c r="H425" s="89"/>
      <c r="I425" s="89"/>
      <c r="J425" s="89"/>
      <c r="K425" s="89"/>
    </row>
    <row r="426" spans="2:11" ht="14.4" customHeight="1" x14ac:dyDescent="0.3">
      <c r="B426" s="89"/>
      <c r="C426" s="89"/>
      <c r="D426" s="89"/>
      <c r="E426" s="89"/>
      <c r="F426" s="89"/>
      <c r="G426" s="89"/>
      <c r="H426" s="89"/>
      <c r="I426" s="89"/>
      <c r="J426" s="89"/>
      <c r="K426" s="89"/>
    </row>
    <row r="427" spans="2:11" ht="14.4" customHeight="1" x14ac:dyDescent="0.3">
      <c r="B427" s="89"/>
      <c r="C427" s="89"/>
      <c r="D427" s="89"/>
      <c r="E427" s="89"/>
      <c r="F427" s="89"/>
      <c r="G427" s="89"/>
      <c r="H427" s="89"/>
      <c r="I427" s="89"/>
      <c r="J427" s="89"/>
      <c r="K427" s="89"/>
    </row>
    <row r="428" spans="2:11" ht="14.4" customHeight="1" x14ac:dyDescent="0.3">
      <c r="B428" s="89"/>
      <c r="C428" s="89"/>
      <c r="D428" s="89"/>
      <c r="E428" s="89"/>
      <c r="F428" s="89"/>
      <c r="G428" s="89"/>
      <c r="H428" s="89"/>
      <c r="I428" s="89"/>
      <c r="J428" s="89"/>
      <c r="K428" s="89"/>
    </row>
    <row r="429" spans="2:11" ht="14.4" customHeight="1" x14ac:dyDescent="0.3">
      <c r="B429" s="89"/>
      <c r="C429" s="89"/>
      <c r="D429" s="89"/>
      <c r="E429" s="89"/>
      <c r="F429" s="89"/>
      <c r="G429" s="89"/>
      <c r="H429" s="89"/>
      <c r="I429" s="89"/>
      <c r="J429" s="89"/>
      <c r="K429" s="89"/>
    </row>
    <row r="430" spans="2:11" ht="14.4" customHeight="1" x14ac:dyDescent="0.3">
      <c r="B430" s="89"/>
      <c r="C430" s="89"/>
      <c r="D430" s="89"/>
      <c r="E430" s="89"/>
      <c r="F430" s="89"/>
      <c r="G430" s="89"/>
      <c r="H430" s="89"/>
      <c r="I430" s="89"/>
      <c r="J430" s="89"/>
      <c r="K430" s="89"/>
    </row>
    <row r="431" spans="2:11" ht="14.4" customHeight="1" x14ac:dyDescent="0.3">
      <c r="B431" s="89"/>
      <c r="C431" s="89"/>
      <c r="D431" s="89"/>
      <c r="E431" s="89"/>
      <c r="F431" s="89"/>
      <c r="G431" s="89"/>
      <c r="H431" s="89"/>
      <c r="I431" s="89"/>
      <c r="J431" s="89"/>
      <c r="K431" s="89"/>
    </row>
    <row r="432" spans="2:11" ht="14.4" customHeight="1" x14ac:dyDescent="0.3">
      <c r="B432" s="89"/>
      <c r="C432" s="89"/>
      <c r="D432" s="89"/>
      <c r="E432" s="89"/>
      <c r="F432" s="89"/>
      <c r="G432" s="89"/>
      <c r="H432" s="89"/>
      <c r="I432" s="89"/>
      <c r="J432" s="89"/>
      <c r="K432" s="89"/>
    </row>
    <row r="433" spans="2:11" ht="14.4" customHeight="1" x14ac:dyDescent="0.3">
      <c r="B433" s="89"/>
      <c r="C433" s="89"/>
      <c r="D433" s="89"/>
      <c r="E433" s="89"/>
      <c r="F433" s="89"/>
      <c r="G433" s="89"/>
      <c r="H433" s="89"/>
      <c r="I433" s="89"/>
      <c r="J433" s="89"/>
      <c r="K433" s="89"/>
    </row>
    <row r="434" spans="2:11" ht="14.4" customHeight="1" x14ac:dyDescent="0.3">
      <c r="B434" s="89"/>
      <c r="C434" s="89"/>
      <c r="D434" s="89"/>
      <c r="E434" s="89"/>
      <c r="F434" s="89"/>
      <c r="G434" s="89"/>
      <c r="H434" s="89"/>
      <c r="I434" s="89"/>
      <c r="J434" s="89"/>
      <c r="K434" s="89"/>
    </row>
    <row r="435" spans="2:11" ht="14.4" customHeight="1" x14ac:dyDescent="0.3">
      <c r="B435" s="89"/>
      <c r="C435" s="89"/>
      <c r="D435" s="89"/>
      <c r="E435" s="89"/>
      <c r="F435" s="89"/>
      <c r="G435" s="89"/>
      <c r="H435" s="89"/>
      <c r="I435" s="89"/>
      <c r="J435" s="89"/>
      <c r="K435" s="89"/>
    </row>
    <row r="436" spans="2:11" ht="14.4" customHeight="1" x14ac:dyDescent="0.3">
      <c r="B436" s="89"/>
      <c r="C436" s="89"/>
      <c r="D436" s="89"/>
      <c r="E436" s="89"/>
      <c r="F436" s="89"/>
      <c r="G436" s="89"/>
      <c r="H436" s="89"/>
      <c r="I436" s="89"/>
      <c r="J436" s="89"/>
      <c r="K436" s="89"/>
    </row>
    <row r="437" spans="2:11" ht="14.4" customHeight="1" x14ac:dyDescent="0.3">
      <c r="B437" s="89"/>
      <c r="C437" s="89"/>
      <c r="D437" s="89"/>
      <c r="E437" s="89"/>
      <c r="F437" s="89"/>
      <c r="G437" s="89"/>
      <c r="H437" s="89"/>
      <c r="I437" s="89"/>
      <c r="J437" s="89"/>
      <c r="K437" s="89"/>
    </row>
    <row r="438" spans="2:11" ht="14.4" customHeight="1" x14ac:dyDescent="0.3">
      <c r="B438" s="89"/>
      <c r="C438" s="89"/>
      <c r="D438" s="89"/>
      <c r="E438" s="89"/>
      <c r="F438" s="89"/>
      <c r="G438" s="89"/>
      <c r="H438" s="89"/>
      <c r="I438" s="89"/>
      <c r="J438" s="89"/>
      <c r="K438" s="89"/>
    </row>
    <row r="439" spans="2:11" ht="14.4" customHeight="1" x14ac:dyDescent="0.3">
      <c r="B439" s="89"/>
      <c r="C439" s="89"/>
      <c r="D439" s="89"/>
      <c r="E439" s="89"/>
      <c r="F439" s="89"/>
      <c r="G439" s="89"/>
      <c r="H439" s="89"/>
      <c r="I439" s="89"/>
      <c r="J439" s="89"/>
      <c r="K439" s="89"/>
    </row>
    <row r="440" spans="2:11" ht="14.4" customHeight="1" x14ac:dyDescent="0.3">
      <c r="B440" s="89"/>
      <c r="C440" s="89"/>
      <c r="D440" s="89"/>
      <c r="E440" s="89"/>
      <c r="F440" s="89"/>
      <c r="G440" s="89"/>
      <c r="H440" s="89"/>
      <c r="I440" s="89"/>
      <c r="J440" s="89"/>
      <c r="K440" s="89"/>
    </row>
    <row r="441" spans="2:11" ht="14.4" customHeight="1" x14ac:dyDescent="0.3">
      <c r="B441" s="89"/>
      <c r="C441" s="89"/>
      <c r="D441" s="89"/>
      <c r="E441" s="89"/>
      <c r="F441" s="89"/>
      <c r="G441" s="89"/>
      <c r="H441" s="89"/>
      <c r="I441" s="89"/>
      <c r="J441" s="89"/>
      <c r="K441" s="89"/>
    </row>
    <row r="442" spans="2:11" ht="14.4" customHeight="1" x14ac:dyDescent="0.3">
      <c r="B442" s="89"/>
      <c r="C442" s="89"/>
      <c r="D442" s="89"/>
      <c r="E442" s="89"/>
      <c r="F442" s="89"/>
      <c r="G442" s="89"/>
      <c r="H442" s="89"/>
      <c r="I442" s="89"/>
      <c r="J442" s="89"/>
      <c r="K442" s="89"/>
    </row>
    <row r="443" spans="2:11" ht="14.4" customHeight="1" x14ac:dyDescent="0.3">
      <c r="B443" s="89"/>
      <c r="C443" s="89"/>
      <c r="D443" s="89"/>
      <c r="E443" s="89"/>
      <c r="F443" s="89"/>
      <c r="G443" s="89"/>
      <c r="H443" s="89"/>
      <c r="I443" s="89"/>
      <c r="J443" s="89"/>
      <c r="K443" s="89"/>
    </row>
    <row r="444" spans="2:11" ht="14.4" customHeight="1" x14ac:dyDescent="0.3">
      <c r="B444" s="89"/>
      <c r="C444" s="89"/>
      <c r="D444" s="89"/>
      <c r="E444" s="89"/>
      <c r="F444" s="89"/>
      <c r="G444" s="89"/>
      <c r="H444" s="89"/>
      <c r="I444" s="89"/>
      <c r="J444" s="89"/>
      <c r="K444" s="89"/>
    </row>
    <row r="445" spans="2:11" ht="14.4" customHeight="1" x14ac:dyDescent="0.3">
      <c r="B445" s="89"/>
      <c r="C445" s="89"/>
      <c r="D445" s="89"/>
      <c r="E445" s="89"/>
      <c r="F445" s="89"/>
      <c r="G445" s="89"/>
      <c r="H445" s="89"/>
      <c r="I445" s="89"/>
      <c r="J445" s="89"/>
      <c r="K445" s="89"/>
    </row>
    <row r="446" spans="2:11" ht="14.4" customHeight="1" x14ac:dyDescent="0.3">
      <c r="B446" s="89"/>
      <c r="C446" s="89"/>
      <c r="D446" s="89"/>
      <c r="E446" s="89"/>
      <c r="F446" s="89"/>
      <c r="G446" s="89"/>
      <c r="H446" s="89"/>
      <c r="I446" s="89"/>
      <c r="J446" s="89"/>
      <c r="K446" s="89"/>
    </row>
    <row r="447" spans="2:11" ht="14.4" customHeight="1" x14ac:dyDescent="0.3">
      <c r="B447" s="89"/>
      <c r="C447" s="89"/>
      <c r="D447" s="89"/>
      <c r="E447" s="89"/>
      <c r="F447" s="89"/>
      <c r="G447" s="89"/>
      <c r="H447" s="89"/>
      <c r="I447" s="89"/>
      <c r="J447" s="89"/>
      <c r="K447" s="89"/>
    </row>
    <row r="448" spans="2:11" ht="14.4" customHeight="1" x14ac:dyDescent="0.3">
      <c r="B448" s="89"/>
      <c r="C448" s="89"/>
      <c r="D448" s="89"/>
      <c r="E448" s="89"/>
      <c r="F448" s="89"/>
      <c r="G448" s="89"/>
      <c r="H448" s="89"/>
      <c r="I448" s="89"/>
      <c r="J448" s="89"/>
      <c r="K448" s="89"/>
    </row>
    <row r="449" spans="2:11" ht="14.4" customHeight="1" x14ac:dyDescent="0.3">
      <c r="B449" s="89"/>
      <c r="C449" s="89"/>
      <c r="D449" s="89"/>
      <c r="E449" s="89"/>
      <c r="F449" s="89"/>
      <c r="G449" s="89"/>
      <c r="H449" s="89"/>
      <c r="I449" s="89"/>
      <c r="J449" s="89"/>
      <c r="K449" s="89"/>
    </row>
    <row r="450" spans="2:11" ht="14.4" customHeight="1" x14ac:dyDescent="0.3">
      <c r="B450" s="89"/>
      <c r="C450" s="89"/>
      <c r="D450" s="89"/>
      <c r="E450" s="89"/>
      <c r="F450" s="89"/>
      <c r="G450" s="89"/>
      <c r="H450" s="89"/>
      <c r="I450" s="89"/>
      <c r="J450" s="89"/>
      <c r="K450" s="89"/>
    </row>
    <row r="451" spans="2:11" ht="14.4" customHeight="1" x14ac:dyDescent="0.3">
      <c r="B451" s="89"/>
      <c r="C451" s="89"/>
      <c r="D451" s="89"/>
      <c r="E451" s="89"/>
      <c r="F451" s="89"/>
      <c r="G451" s="89"/>
      <c r="H451" s="89"/>
      <c r="I451" s="89"/>
      <c r="J451" s="89"/>
      <c r="K451" s="89"/>
    </row>
    <row r="452" spans="2:11" ht="14.4" customHeight="1" x14ac:dyDescent="0.3">
      <c r="B452" s="89"/>
      <c r="C452" s="89"/>
      <c r="D452" s="89"/>
      <c r="E452" s="89"/>
      <c r="F452" s="89"/>
      <c r="G452" s="89"/>
      <c r="H452" s="89"/>
      <c r="I452" s="89"/>
      <c r="J452" s="89"/>
      <c r="K452" s="89"/>
    </row>
    <row r="453" spans="2:11" ht="14.4" customHeight="1" x14ac:dyDescent="0.3">
      <c r="B453" s="89"/>
      <c r="C453" s="89"/>
      <c r="D453" s="89"/>
      <c r="E453" s="89"/>
      <c r="F453" s="89"/>
      <c r="G453" s="89"/>
      <c r="H453" s="89"/>
      <c r="I453" s="89"/>
      <c r="J453" s="89"/>
      <c r="K453" s="89"/>
    </row>
    <row r="454" spans="2:11" ht="14.4" customHeight="1" x14ac:dyDescent="0.3">
      <c r="B454" s="89"/>
      <c r="C454" s="89"/>
      <c r="D454" s="89"/>
      <c r="E454" s="89"/>
      <c r="F454" s="89"/>
      <c r="G454" s="89"/>
      <c r="H454" s="89"/>
      <c r="I454" s="89"/>
      <c r="J454" s="89"/>
      <c r="K454" s="89"/>
    </row>
    <row r="455" spans="2:11" ht="14.4" customHeight="1" x14ac:dyDescent="0.3">
      <c r="B455" s="89"/>
      <c r="C455" s="89"/>
      <c r="D455" s="89"/>
      <c r="E455" s="89"/>
      <c r="F455" s="89"/>
      <c r="G455" s="89"/>
      <c r="H455" s="89"/>
      <c r="I455" s="89"/>
      <c r="J455" s="89"/>
      <c r="K455" s="89"/>
    </row>
    <row r="456" spans="2:11" ht="14.4" customHeight="1" x14ac:dyDescent="0.3">
      <c r="B456" s="89"/>
      <c r="C456" s="89"/>
      <c r="D456" s="89"/>
      <c r="E456" s="89"/>
      <c r="F456" s="89"/>
      <c r="G456" s="89"/>
      <c r="H456" s="89"/>
      <c r="I456" s="89"/>
      <c r="J456" s="89"/>
      <c r="K456" s="89"/>
    </row>
    <row r="457" spans="2:11" ht="14.4" customHeight="1" x14ac:dyDescent="0.3">
      <c r="B457" s="89"/>
      <c r="C457" s="89"/>
      <c r="D457" s="89"/>
      <c r="E457" s="89"/>
      <c r="F457" s="89"/>
      <c r="G457" s="89"/>
      <c r="H457" s="89"/>
      <c r="I457" s="89"/>
      <c r="J457" s="89"/>
      <c r="K457" s="89"/>
    </row>
    <row r="458" spans="2:11" ht="14.4" customHeight="1" x14ac:dyDescent="0.3">
      <c r="B458" s="89"/>
      <c r="C458" s="89"/>
      <c r="D458" s="89"/>
      <c r="E458" s="89"/>
      <c r="F458" s="89"/>
      <c r="G458" s="89"/>
      <c r="H458" s="89"/>
      <c r="I458" s="89"/>
      <c r="J458" s="89"/>
      <c r="K458" s="89"/>
    </row>
    <row r="459" spans="2:11" ht="14.4" customHeight="1" x14ac:dyDescent="0.3">
      <c r="B459" s="89"/>
      <c r="C459" s="89"/>
      <c r="D459" s="89"/>
      <c r="E459" s="89"/>
      <c r="F459" s="89"/>
      <c r="G459" s="89"/>
      <c r="H459" s="89"/>
      <c r="I459" s="89"/>
      <c r="J459" s="89"/>
      <c r="K459" s="89"/>
    </row>
    <row r="460" spans="2:11" ht="14.4" customHeight="1" x14ac:dyDescent="0.3">
      <c r="B460" s="89"/>
      <c r="C460" s="89"/>
      <c r="D460" s="89"/>
      <c r="E460" s="89"/>
      <c r="F460" s="89"/>
      <c r="G460" s="89"/>
      <c r="H460" s="89"/>
      <c r="I460" s="89"/>
      <c r="J460" s="89"/>
      <c r="K460" s="89"/>
    </row>
    <row r="461" spans="2:11" ht="14.4" customHeight="1" x14ac:dyDescent="0.3">
      <c r="B461" s="89"/>
      <c r="C461" s="89"/>
      <c r="D461" s="89"/>
      <c r="E461" s="89"/>
      <c r="F461" s="89"/>
      <c r="G461" s="89"/>
      <c r="H461" s="89"/>
      <c r="I461" s="89"/>
      <c r="J461" s="89"/>
      <c r="K461" s="89"/>
    </row>
    <row r="462" spans="2:11" ht="14.4" customHeight="1" x14ac:dyDescent="0.3">
      <c r="B462" s="89"/>
      <c r="C462" s="89"/>
      <c r="D462" s="89"/>
      <c r="E462" s="89"/>
      <c r="F462" s="89"/>
      <c r="G462" s="89"/>
      <c r="H462" s="89"/>
      <c r="I462" s="89"/>
      <c r="J462" s="89"/>
      <c r="K462" s="89"/>
    </row>
    <row r="463" spans="2:11" ht="14.4" customHeight="1" x14ac:dyDescent="0.3">
      <c r="B463" s="89"/>
      <c r="C463" s="89"/>
      <c r="D463" s="89"/>
      <c r="E463" s="89"/>
      <c r="F463" s="89"/>
      <c r="G463" s="89"/>
      <c r="H463" s="89"/>
      <c r="I463" s="89"/>
      <c r="J463" s="89"/>
      <c r="K463" s="89"/>
    </row>
    <row r="464" spans="2:11" ht="14.4" customHeight="1" x14ac:dyDescent="0.3">
      <c r="B464" s="89"/>
      <c r="C464" s="89"/>
      <c r="D464" s="89"/>
      <c r="E464" s="89"/>
      <c r="F464" s="89"/>
      <c r="G464" s="89"/>
      <c r="H464" s="89"/>
      <c r="I464" s="89"/>
      <c r="J464" s="89"/>
      <c r="K464" s="89"/>
    </row>
  </sheetData>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75"/>
  <sheetViews>
    <sheetView showGridLines="0" zoomScale="85" zoomScaleNormal="85" workbookViewId="0">
      <pane xSplit="2" ySplit="1" topLeftCell="C32" activePane="bottomRight" state="frozen"/>
      <selection pane="topRight" activeCell="C1" sqref="C1"/>
      <selection pane="bottomLeft" activeCell="A2" sqref="A2"/>
      <selection pane="bottomRight" activeCell="I47" sqref="I47"/>
    </sheetView>
  </sheetViews>
  <sheetFormatPr baseColWidth="10" defaultColWidth="12.77734375" defaultRowHeight="14.4" customHeight="1" outlineLevelCol="1" x14ac:dyDescent="0.3"/>
  <cols>
    <col min="1" max="1" width="2.77734375" style="102" customWidth="1"/>
    <col min="2" max="2" width="40.5546875" style="84" bestFit="1" customWidth="1"/>
    <col min="3" max="5" width="0" style="84" hidden="1" customWidth="1" outlineLevel="1"/>
    <col min="6" max="6" width="12.77734375" style="84" collapsed="1"/>
    <col min="7" max="16384" width="12.77734375" style="84"/>
  </cols>
  <sheetData>
    <row r="1" spans="1:264" customFormat="1" ht="14.4" customHeight="1" x14ac:dyDescent="0.3">
      <c r="A1" s="27"/>
      <c r="B1" s="80" t="s">
        <v>148</v>
      </c>
      <c r="C1" s="81">
        <v>2023</v>
      </c>
      <c r="D1" s="81">
        <v>2024</v>
      </c>
      <c r="E1" s="81">
        <v>2025</v>
      </c>
      <c r="F1" s="81" t="s">
        <v>64</v>
      </c>
      <c r="G1" s="81" t="s">
        <v>65</v>
      </c>
      <c r="H1" s="82" t="s">
        <v>66</v>
      </c>
      <c r="I1" s="82" t="s">
        <v>67</v>
      </c>
      <c r="J1" s="82" t="s">
        <v>68</v>
      </c>
      <c r="K1" s="82" t="s">
        <v>467</v>
      </c>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c r="IK1" s="101"/>
      <c r="IL1" s="101"/>
      <c r="IM1" s="101"/>
      <c r="IN1" s="101"/>
      <c r="IO1" s="101"/>
      <c r="IP1" s="101"/>
      <c r="IQ1" s="101"/>
      <c r="IR1" s="101"/>
      <c r="IS1" s="101"/>
      <c r="IT1" s="101"/>
      <c r="IU1" s="101"/>
      <c r="IV1" s="101"/>
      <c r="IW1" s="101"/>
      <c r="IX1" s="101"/>
      <c r="IY1" s="101"/>
      <c r="IZ1" s="101"/>
      <c r="JA1" s="101"/>
      <c r="JB1" s="101"/>
      <c r="JC1" s="101"/>
      <c r="JD1" s="101"/>
    </row>
    <row r="2" spans="1:264" ht="14.4" customHeight="1" x14ac:dyDescent="0.3">
      <c r="B2" s="116" t="s">
        <v>364</v>
      </c>
      <c r="C2" s="92"/>
      <c r="D2" s="92"/>
      <c r="E2" s="92"/>
      <c r="F2" s="57"/>
      <c r="G2" s="57"/>
      <c r="H2" s="57"/>
      <c r="I2" s="57"/>
      <c r="J2" s="57"/>
      <c r="K2" s="57"/>
      <c r="L2" s="92"/>
      <c r="M2" s="92"/>
    </row>
    <row r="3" spans="1:264" s="87" customFormat="1" ht="14.4" customHeight="1" x14ac:dyDescent="0.3">
      <c r="A3" s="125"/>
      <c r="B3" s="178" t="s">
        <v>365</v>
      </c>
      <c r="C3" s="85"/>
      <c r="D3" s="85"/>
      <c r="E3" s="85"/>
      <c r="F3" s="85"/>
      <c r="G3" s="85"/>
      <c r="H3" s="85"/>
      <c r="I3" s="85"/>
      <c r="J3" s="85"/>
      <c r="K3" s="85"/>
      <c r="L3" s="85"/>
      <c r="M3" s="85"/>
    </row>
    <row r="4" spans="1:264" ht="14.4" customHeight="1" x14ac:dyDescent="0.3">
      <c r="B4" s="175" t="s">
        <v>366</v>
      </c>
      <c r="C4" s="92">
        <v>227481</v>
      </c>
      <c r="D4" s="92">
        <v>425066</v>
      </c>
      <c r="E4" s="92">
        <v>488511</v>
      </c>
      <c r="F4" s="92">
        <v>407817</v>
      </c>
      <c r="G4" s="85">
        <v>563667</v>
      </c>
      <c r="H4" s="85">
        <f>CashFlow!H69-H24</f>
        <v>618867.73879999993</v>
      </c>
      <c r="I4" s="85">
        <f>CashFlow!I69-I24</f>
        <v>688010.29594949982</v>
      </c>
      <c r="J4" s="85">
        <f>CashFlow!J69-J24</f>
        <v>780290.09326240001</v>
      </c>
      <c r="K4" s="85">
        <f>CashFlow!K69-K24</f>
        <v>786692.49991964735</v>
      </c>
      <c r="L4" s="92"/>
      <c r="M4" s="92"/>
    </row>
    <row r="5" spans="1:264" ht="14.4" customHeight="1" x14ac:dyDescent="0.3">
      <c r="B5" s="175" t="s">
        <v>367</v>
      </c>
      <c r="C5" s="92">
        <v>32248</v>
      </c>
      <c r="D5" s="92">
        <v>11218</v>
      </c>
      <c r="E5" s="92">
        <v>11808</v>
      </c>
      <c r="F5" s="186"/>
      <c r="G5" s="150"/>
      <c r="H5" s="150"/>
      <c r="I5" s="150"/>
      <c r="J5" s="150"/>
      <c r="K5" s="150"/>
      <c r="L5" s="92"/>
      <c r="M5" s="92"/>
    </row>
    <row r="6" spans="1:264" ht="14.4" customHeight="1" x14ac:dyDescent="0.3">
      <c r="B6" s="175" t="s">
        <v>368</v>
      </c>
      <c r="C6" s="85">
        <v>68624</v>
      </c>
      <c r="D6" s="85">
        <v>79303</v>
      </c>
      <c r="E6" s="85">
        <v>83587</v>
      </c>
      <c r="F6" s="187"/>
      <c r="G6" s="150"/>
      <c r="H6" s="150"/>
      <c r="I6" s="150"/>
      <c r="J6" s="150"/>
      <c r="K6" s="150"/>
      <c r="L6" s="92"/>
      <c r="M6" s="92"/>
    </row>
    <row r="7" spans="1:264" ht="14.4" customHeight="1" x14ac:dyDescent="0.3">
      <c r="B7" s="175" t="s">
        <v>133</v>
      </c>
      <c r="C7" s="85">
        <v>62362</v>
      </c>
      <c r="D7" s="85">
        <v>78589</v>
      </c>
      <c r="E7" s="85">
        <v>51477</v>
      </c>
      <c r="F7" s="187"/>
      <c r="G7" s="150"/>
      <c r="H7" s="150"/>
      <c r="I7" s="150"/>
      <c r="J7" s="150"/>
      <c r="K7" s="150"/>
      <c r="L7" s="92"/>
      <c r="M7" s="92"/>
    </row>
    <row r="8" spans="1:264" s="87" customFormat="1" ht="14.4" customHeight="1" x14ac:dyDescent="0.3">
      <c r="A8" s="125"/>
      <c r="B8" s="175" t="s">
        <v>369</v>
      </c>
      <c r="C8" s="85">
        <v>23</v>
      </c>
      <c r="D8" s="85">
        <v>45</v>
      </c>
      <c r="E8" s="85">
        <v>52</v>
      </c>
      <c r="F8" s="187"/>
      <c r="G8" s="150"/>
      <c r="H8" s="150"/>
      <c r="I8" s="150"/>
      <c r="J8" s="150"/>
      <c r="K8" s="150"/>
      <c r="L8" s="85"/>
      <c r="M8" s="85"/>
    </row>
    <row r="9" spans="1:264" s="87" customFormat="1" ht="14.4" customHeight="1" x14ac:dyDescent="0.3">
      <c r="A9" s="125"/>
      <c r="B9" s="175" t="s">
        <v>370</v>
      </c>
      <c r="C9" s="85">
        <v>38</v>
      </c>
      <c r="D9" s="85">
        <v>37</v>
      </c>
      <c r="E9" s="85">
        <v>79</v>
      </c>
      <c r="F9" s="187"/>
      <c r="G9" s="150"/>
      <c r="H9" s="150"/>
      <c r="I9" s="150"/>
      <c r="J9" s="150"/>
      <c r="K9" s="150"/>
      <c r="L9" s="85"/>
      <c r="M9" s="85"/>
    </row>
    <row r="10" spans="1:264" s="87" customFormat="1" ht="14.4" customHeight="1" x14ac:dyDescent="0.3">
      <c r="A10" s="125"/>
      <c r="B10" s="177" t="s">
        <v>371</v>
      </c>
      <c r="C10" s="85">
        <v>19296</v>
      </c>
      <c r="D10" s="85">
        <v>18873</v>
      </c>
      <c r="E10" s="85">
        <v>12694</v>
      </c>
      <c r="F10" s="187"/>
      <c r="G10" s="187"/>
      <c r="H10" s="187"/>
      <c r="I10" s="187"/>
      <c r="J10" s="187"/>
      <c r="K10" s="187"/>
      <c r="L10" s="85"/>
      <c r="M10" s="85"/>
    </row>
    <row r="11" spans="1:264" s="87" customFormat="1" ht="14.4" customHeight="1" x14ac:dyDescent="0.3">
      <c r="A11" s="125"/>
      <c r="B11" s="175" t="s">
        <v>372</v>
      </c>
      <c r="C11" s="85">
        <v>6305</v>
      </c>
      <c r="D11" s="85">
        <v>2177</v>
      </c>
      <c r="E11" s="85">
        <v>617</v>
      </c>
      <c r="F11" s="187"/>
      <c r="G11" s="150"/>
      <c r="H11" s="150"/>
      <c r="I11" s="150"/>
      <c r="J11" s="150"/>
      <c r="K11" s="150"/>
      <c r="L11" s="85"/>
      <c r="M11" s="85"/>
    </row>
    <row r="12" spans="1:264" s="87" customFormat="1" ht="14.4" customHeight="1" x14ac:dyDescent="0.3">
      <c r="A12" s="125"/>
      <c r="B12" s="175" t="s">
        <v>422</v>
      </c>
      <c r="C12" s="85">
        <v>0</v>
      </c>
      <c r="D12" s="85">
        <v>67</v>
      </c>
      <c r="E12" s="85">
        <v>0</v>
      </c>
      <c r="F12" s="187"/>
      <c r="G12" s="150"/>
      <c r="H12" s="150"/>
      <c r="I12" s="150"/>
      <c r="J12" s="150"/>
      <c r="K12" s="150"/>
      <c r="L12" s="85"/>
      <c r="M12" s="85"/>
    </row>
    <row r="13" spans="1:264" ht="14.4" customHeight="1" x14ac:dyDescent="0.3">
      <c r="B13" s="175" t="s">
        <v>373</v>
      </c>
      <c r="C13" s="85">
        <v>15190</v>
      </c>
      <c r="D13" s="85">
        <v>0</v>
      </c>
      <c r="E13" s="85">
        <v>0</v>
      </c>
      <c r="F13" s="85">
        <v>0</v>
      </c>
      <c r="G13" s="85">
        <v>10950</v>
      </c>
      <c r="H13" s="182">
        <v>0</v>
      </c>
      <c r="I13" s="182">
        <v>0</v>
      </c>
      <c r="J13" s="182">
        <v>0</v>
      </c>
      <c r="K13" s="182">
        <v>0</v>
      </c>
      <c r="L13" s="92"/>
      <c r="M13" s="92"/>
    </row>
    <row r="14" spans="1:264" s="116" customFormat="1" ht="14.4" customHeight="1" x14ac:dyDescent="0.3">
      <c r="A14" s="126"/>
      <c r="B14" s="175" t="s">
        <v>374</v>
      </c>
      <c r="C14" s="148">
        <v>22830</v>
      </c>
      <c r="D14" s="85">
        <v>43598</v>
      </c>
      <c r="E14" s="85">
        <v>34520</v>
      </c>
      <c r="F14" s="148">
        <v>186387</v>
      </c>
      <c r="G14" s="85">
        <v>233262</v>
      </c>
      <c r="H14" s="182">
        <v>233262</v>
      </c>
      <c r="I14" s="182">
        <v>233262</v>
      </c>
      <c r="J14" s="182">
        <v>233262</v>
      </c>
      <c r="K14" s="182">
        <v>233262</v>
      </c>
      <c r="L14" s="57"/>
      <c r="M14" s="57"/>
    </row>
    <row r="15" spans="1:264" s="116" customFormat="1" ht="14.4" customHeight="1" x14ac:dyDescent="0.3">
      <c r="A15" s="126"/>
      <c r="B15" s="116" t="s">
        <v>134</v>
      </c>
      <c r="C15" s="149">
        <f t="shared" ref="C15:J15" si="0">SUM(C4:C14)</f>
        <v>454397</v>
      </c>
      <c r="D15" s="149">
        <f t="shared" si="0"/>
        <v>658973</v>
      </c>
      <c r="E15" s="149">
        <f t="shared" si="0"/>
        <v>683345</v>
      </c>
      <c r="F15" s="149">
        <f t="shared" si="0"/>
        <v>594204</v>
      </c>
      <c r="G15" s="149">
        <f t="shared" si="0"/>
        <v>807879</v>
      </c>
      <c r="H15" s="149">
        <f t="shared" si="0"/>
        <v>852129.73879999993</v>
      </c>
      <c r="I15" s="149">
        <f t="shared" si="0"/>
        <v>921272.29594949982</v>
      </c>
      <c r="J15" s="149">
        <f t="shared" si="0"/>
        <v>1013552.0932624</v>
      </c>
      <c r="K15" s="149">
        <f t="shared" ref="K15" si="1">SUM(K4:K14)</f>
        <v>1019954.4999196474</v>
      </c>
      <c r="L15" s="57"/>
      <c r="M15" s="57"/>
    </row>
    <row r="16" spans="1:264" s="87" customFormat="1" ht="14.4" customHeight="1" x14ac:dyDescent="0.3">
      <c r="A16" s="125"/>
      <c r="B16" s="84"/>
      <c r="C16" s="85"/>
      <c r="D16" s="85"/>
      <c r="E16" s="85"/>
      <c r="F16" s="85"/>
      <c r="G16" s="145"/>
      <c r="H16" s="145"/>
      <c r="I16" s="145"/>
      <c r="J16" s="145"/>
      <c r="K16" s="145"/>
      <c r="L16" s="85"/>
      <c r="M16" s="85"/>
    </row>
    <row r="17" spans="1:13" ht="14.4" customHeight="1" x14ac:dyDescent="0.3">
      <c r="B17" s="116" t="s">
        <v>375</v>
      </c>
      <c r="C17" s="85"/>
      <c r="D17" s="85"/>
      <c r="E17" s="148"/>
      <c r="F17" s="85"/>
      <c r="G17" s="145"/>
      <c r="H17" s="145"/>
      <c r="I17" s="145"/>
      <c r="J17" s="145"/>
      <c r="K17" s="145"/>
      <c r="L17" s="92"/>
      <c r="M17" s="92"/>
    </row>
    <row r="18" spans="1:13" ht="14.4" customHeight="1" x14ac:dyDescent="0.3">
      <c r="B18" s="175" t="s">
        <v>377</v>
      </c>
      <c r="C18" s="85">
        <v>0</v>
      </c>
      <c r="D18" s="85">
        <v>27526</v>
      </c>
      <c r="E18" s="148">
        <v>87277</v>
      </c>
      <c r="F18" s="85">
        <v>99999</v>
      </c>
      <c r="G18" s="85">
        <v>62929</v>
      </c>
      <c r="H18" s="182">
        <v>62929</v>
      </c>
      <c r="I18" s="182">
        <v>62929</v>
      </c>
      <c r="J18" s="182">
        <v>62929</v>
      </c>
      <c r="K18" s="182">
        <v>62929</v>
      </c>
      <c r="L18" s="92"/>
      <c r="M18" s="92"/>
    </row>
    <row r="19" spans="1:13" ht="14.4" customHeight="1" x14ac:dyDescent="0.3">
      <c r="B19" s="175" t="s">
        <v>376</v>
      </c>
      <c r="C19" s="85">
        <v>2539743</v>
      </c>
      <c r="D19" s="85">
        <v>3208357</v>
      </c>
      <c r="E19" s="148">
        <v>2874947</v>
      </c>
      <c r="F19" s="85">
        <v>2822365</v>
      </c>
      <c r="G19" s="85">
        <v>2838550</v>
      </c>
      <c r="H19" s="85">
        <f>G19+H75-'P&amp;L'!H11</f>
        <v>2859967</v>
      </c>
      <c r="I19" s="85">
        <f>H19+I75-'P&amp;L'!I11</f>
        <v>2889484</v>
      </c>
      <c r="J19" s="85">
        <f>I19+J75-'P&amp;L'!J11</f>
        <v>2854701</v>
      </c>
      <c r="K19" s="85">
        <f>J19+K75-'P&amp;L'!K11</f>
        <v>2819918</v>
      </c>
      <c r="L19" s="92"/>
      <c r="M19" s="92"/>
    </row>
    <row r="20" spans="1:13" s="116" customFormat="1" ht="14.4" customHeight="1" x14ac:dyDescent="0.3">
      <c r="A20" s="126"/>
      <c r="B20" s="116" t="s">
        <v>378</v>
      </c>
      <c r="C20" s="57">
        <f t="shared" ref="C20:J20" si="2">SUM(C18:C19)</f>
        <v>2539743</v>
      </c>
      <c r="D20" s="57">
        <f t="shared" si="2"/>
        <v>3235883</v>
      </c>
      <c r="E20" s="57">
        <f t="shared" si="2"/>
        <v>2962224</v>
      </c>
      <c r="F20" s="57">
        <f t="shared" si="2"/>
        <v>2922364</v>
      </c>
      <c r="G20" s="57">
        <f t="shared" si="2"/>
        <v>2901479</v>
      </c>
      <c r="H20" s="57">
        <f t="shared" si="2"/>
        <v>2922896</v>
      </c>
      <c r="I20" s="57">
        <f t="shared" si="2"/>
        <v>2952413</v>
      </c>
      <c r="J20" s="57">
        <f t="shared" si="2"/>
        <v>2917630</v>
      </c>
      <c r="K20" s="57">
        <f t="shared" ref="K20" si="3">SUM(K18:K19)</f>
        <v>2882847</v>
      </c>
      <c r="L20" s="57"/>
      <c r="M20" s="57"/>
    </row>
    <row r="21" spans="1:13" s="87" customFormat="1" ht="14.4" customHeight="1" x14ac:dyDescent="0.3">
      <c r="A21" s="125"/>
      <c r="B21" s="84"/>
      <c r="C21" s="148"/>
      <c r="D21" s="148"/>
      <c r="E21" s="148"/>
      <c r="F21" s="148"/>
      <c r="G21" s="145"/>
      <c r="H21" s="145"/>
      <c r="I21" s="145"/>
      <c r="J21" s="145"/>
      <c r="K21" s="145"/>
      <c r="L21" s="85"/>
      <c r="M21" s="85"/>
    </row>
    <row r="22" spans="1:13" s="116" customFormat="1" ht="14.4" customHeight="1" x14ac:dyDescent="0.3">
      <c r="A22" s="126"/>
      <c r="B22" s="178" t="s">
        <v>379</v>
      </c>
      <c r="C22" s="149"/>
      <c r="D22" s="149"/>
      <c r="E22" s="149"/>
      <c r="F22" s="149"/>
      <c r="G22" s="149"/>
      <c r="H22" s="149"/>
      <c r="I22" s="149"/>
      <c r="J22" s="149"/>
      <c r="K22" s="149"/>
      <c r="L22" s="57"/>
      <c r="M22" s="57"/>
    </row>
    <row r="23" spans="1:13" ht="14.4" customHeight="1" x14ac:dyDescent="0.3">
      <c r="B23" s="175" t="s">
        <v>380</v>
      </c>
      <c r="C23" s="85">
        <v>1736</v>
      </c>
      <c r="D23" s="85">
        <v>1733</v>
      </c>
      <c r="E23" s="148">
        <v>826</v>
      </c>
      <c r="F23" s="85">
        <v>0</v>
      </c>
      <c r="G23" s="145">
        <v>0</v>
      </c>
      <c r="H23" s="145">
        <v>0</v>
      </c>
      <c r="I23" s="145">
        <v>0</v>
      </c>
      <c r="J23" s="145">
        <v>0</v>
      </c>
      <c r="K23" s="145">
        <v>0</v>
      </c>
      <c r="L23" s="92"/>
      <c r="M23" s="92"/>
    </row>
    <row r="24" spans="1:13" s="87" customFormat="1" ht="14.4" customHeight="1" x14ac:dyDescent="0.3">
      <c r="A24" s="125"/>
      <c r="B24" s="177" t="s">
        <v>381</v>
      </c>
      <c r="C24" s="85">
        <v>2021</v>
      </c>
      <c r="D24" s="85">
        <v>4596</v>
      </c>
      <c r="E24" s="85">
        <v>1615</v>
      </c>
      <c r="F24" s="85">
        <v>1615</v>
      </c>
      <c r="G24" s="85">
        <v>1615</v>
      </c>
      <c r="H24" s="182">
        <v>1615</v>
      </c>
      <c r="I24" s="182">
        <v>1615</v>
      </c>
      <c r="J24" s="182">
        <v>1615</v>
      </c>
      <c r="K24" s="182">
        <v>1615</v>
      </c>
      <c r="L24" s="85"/>
      <c r="M24" s="85"/>
    </row>
    <row r="25" spans="1:13" ht="14.4" customHeight="1" x14ac:dyDescent="0.3">
      <c r="B25" s="175" t="s">
        <v>382</v>
      </c>
      <c r="C25" s="85">
        <v>27825</v>
      </c>
      <c r="D25" s="85">
        <v>184509</v>
      </c>
      <c r="E25" s="85">
        <v>157058</v>
      </c>
      <c r="F25" s="187"/>
      <c r="G25" s="187"/>
      <c r="H25" s="187"/>
      <c r="I25" s="187"/>
      <c r="J25" s="187"/>
      <c r="K25" s="187"/>
      <c r="L25" s="92"/>
      <c r="M25" s="92"/>
    </row>
    <row r="26" spans="1:13" ht="14.4" customHeight="1" x14ac:dyDescent="0.3">
      <c r="B26" s="175" t="s">
        <v>383</v>
      </c>
      <c r="C26" s="85">
        <v>2533</v>
      </c>
      <c r="D26" s="85">
        <v>330</v>
      </c>
      <c r="E26" s="85">
        <v>0</v>
      </c>
      <c r="F26" s="187"/>
      <c r="G26" s="150"/>
      <c r="H26" s="150"/>
      <c r="I26" s="150"/>
      <c r="J26" s="150"/>
      <c r="K26" s="150"/>
      <c r="L26" s="92"/>
      <c r="M26" s="92"/>
    </row>
    <row r="27" spans="1:13" s="116" customFormat="1" ht="14.4" customHeight="1" x14ac:dyDescent="0.3">
      <c r="A27" s="102"/>
      <c r="B27" s="175" t="s">
        <v>384</v>
      </c>
      <c r="C27" s="85">
        <v>0</v>
      </c>
      <c r="D27" s="85">
        <v>354</v>
      </c>
      <c r="E27" s="85">
        <v>317</v>
      </c>
      <c r="F27" s="85">
        <v>150614</v>
      </c>
      <c r="G27" s="85">
        <v>143190</v>
      </c>
      <c r="H27" s="182">
        <v>143190</v>
      </c>
      <c r="I27" s="182">
        <v>143190</v>
      </c>
      <c r="J27" s="182">
        <v>143190</v>
      </c>
      <c r="K27" s="182">
        <v>143190</v>
      </c>
      <c r="L27" s="92"/>
      <c r="M27" s="92"/>
    </row>
    <row r="28" spans="1:13" s="116" customFormat="1" ht="14.4" customHeight="1" x14ac:dyDescent="0.3">
      <c r="A28" s="126"/>
      <c r="B28" s="116" t="s">
        <v>130</v>
      </c>
      <c r="C28" s="57">
        <f t="shared" ref="C28:J28" si="4">SUM(C23:C27)</f>
        <v>34115</v>
      </c>
      <c r="D28" s="57">
        <f t="shared" si="4"/>
        <v>191522</v>
      </c>
      <c r="E28" s="57">
        <f t="shared" si="4"/>
        <v>159816</v>
      </c>
      <c r="F28" s="57">
        <f t="shared" si="4"/>
        <v>152229</v>
      </c>
      <c r="G28" s="57">
        <f t="shared" si="4"/>
        <v>144805</v>
      </c>
      <c r="H28" s="57">
        <f t="shared" si="4"/>
        <v>144805</v>
      </c>
      <c r="I28" s="57">
        <f t="shared" si="4"/>
        <v>144805</v>
      </c>
      <c r="J28" s="57">
        <f t="shared" si="4"/>
        <v>144805</v>
      </c>
      <c r="K28" s="57">
        <f t="shared" ref="K28" si="5">SUM(K23:K27)</f>
        <v>144805</v>
      </c>
      <c r="L28" s="57"/>
      <c r="M28" s="57"/>
    </row>
    <row r="29" spans="1:13" ht="14.4" customHeight="1" x14ac:dyDescent="0.3">
      <c r="A29" s="125"/>
      <c r="C29" s="85"/>
      <c r="D29" s="85"/>
      <c r="E29" s="85"/>
      <c r="F29" s="85"/>
      <c r="G29" s="145"/>
      <c r="H29" s="145"/>
      <c r="I29" s="145"/>
      <c r="J29" s="145"/>
      <c r="K29" s="145"/>
      <c r="L29" s="85"/>
      <c r="M29" s="85"/>
    </row>
    <row r="30" spans="1:13" s="116" customFormat="1" ht="14.4" customHeight="1" x14ac:dyDescent="0.3">
      <c r="A30" s="126"/>
      <c r="B30" s="88" t="s">
        <v>385</v>
      </c>
      <c r="C30" s="88">
        <f t="shared" ref="C30:J30" si="6">C15+C28+C20</f>
        <v>3028255</v>
      </c>
      <c r="D30" s="88">
        <f t="shared" si="6"/>
        <v>4086378</v>
      </c>
      <c r="E30" s="88">
        <f t="shared" si="6"/>
        <v>3805385</v>
      </c>
      <c r="F30" s="88">
        <f t="shared" si="6"/>
        <v>3668797</v>
      </c>
      <c r="G30" s="88">
        <f t="shared" si="6"/>
        <v>3854163</v>
      </c>
      <c r="H30" s="88">
        <f t="shared" si="6"/>
        <v>3919830.7387999999</v>
      </c>
      <c r="I30" s="88">
        <f t="shared" si="6"/>
        <v>4018490.2959495001</v>
      </c>
      <c r="J30" s="88">
        <f t="shared" si="6"/>
        <v>4075987.0932624</v>
      </c>
      <c r="K30" s="88">
        <f t="shared" ref="K30" si="7">K15+K28+K20</f>
        <v>4047606.4999196474</v>
      </c>
      <c r="L30" s="57"/>
      <c r="M30" s="57"/>
    </row>
    <row r="31" spans="1:13" s="116" customFormat="1" ht="14.4" customHeight="1" x14ac:dyDescent="0.3">
      <c r="A31" s="126"/>
      <c r="B31" s="84"/>
      <c r="C31" s="57"/>
      <c r="D31" s="57"/>
      <c r="E31" s="57"/>
      <c r="F31" s="57"/>
      <c r="G31" s="57"/>
      <c r="H31" s="57"/>
      <c r="I31" s="57"/>
      <c r="J31" s="57"/>
      <c r="K31" s="57"/>
      <c r="L31" s="57"/>
      <c r="M31" s="57"/>
    </row>
    <row r="32" spans="1:13" s="87" customFormat="1" ht="14.4" customHeight="1" x14ac:dyDescent="0.3">
      <c r="A32" s="102"/>
      <c r="B32" s="116" t="s">
        <v>386</v>
      </c>
      <c r="C32" s="85"/>
      <c r="D32" s="85"/>
      <c r="E32" s="85"/>
      <c r="F32" s="85"/>
      <c r="G32" s="145"/>
      <c r="H32" s="145"/>
      <c r="I32" s="145"/>
      <c r="J32" s="145"/>
      <c r="K32" s="145"/>
      <c r="L32" s="92"/>
      <c r="M32" s="92"/>
    </row>
    <row r="33" spans="1:14" s="87" customFormat="1" ht="14.4" customHeight="1" x14ac:dyDescent="0.3">
      <c r="A33" s="125"/>
      <c r="B33" s="178" t="s">
        <v>387</v>
      </c>
      <c r="C33" s="148"/>
      <c r="D33" s="148"/>
      <c r="E33" s="148"/>
      <c r="F33" s="148"/>
      <c r="G33" s="145"/>
      <c r="H33" s="145"/>
      <c r="I33" s="145"/>
      <c r="J33" s="145"/>
      <c r="K33" s="145"/>
      <c r="L33" s="85"/>
      <c r="M33" s="85"/>
    </row>
    <row r="34" spans="1:14" s="87" customFormat="1" ht="14.4" customHeight="1" x14ac:dyDescent="0.3">
      <c r="A34" s="102"/>
      <c r="B34" s="175" t="s">
        <v>388</v>
      </c>
      <c r="C34" s="92">
        <v>249125</v>
      </c>
      <c r="D34" s="92">
        <v>221147</v>
      </c>
      <c r="E34" s="92">
        <v>226137</v>
      </c>
      <c r="F34" s="92">
        <v>173405</v>
      </c>
      <c r="G34" s="85">
        <v>233581</v>
      </c>
      <c r="H34" s="187"/>
      <c r="I34" s="187"/>
      <c r="J34" s="187"/>
      <c r="K34" s="187"/>
      <c r="L34" s="92"/>
      <c r="M34" s="92"/>
      <c r="N34" s="84"/>
    </row>
    <row r="35" spans="1:14" ht="14.4" customHeight="1" x14ac:dyDescent="0.3">
      <c r="B35" s="175" t="s">
        <v>389</v>
      </c>
      <c r="C35" s="85">
        <v>2731</v>
      </c>
      <c r="D35" s="85">
        <v>2731</v>
      </c>
      <c r="E35" s="85">
        <v>2731</v>
      </c>
      <c r="F35" s="187"/>
      <c r="G35" s="150"/>
      <c r="H35" s="150"/>
      <c r="I35" s="150"/>
      <c r="J35" s="150"/>
      <c r="K35" s="150"/>
      <c r="L35" s="92"/>
      <c r="M35" s="92"/>
    </row>
    <row r="36" spans="1:14" ht="14.4" customHeight="1" x14ac:dyDescent="0.3">
      <c r="B36" s="175" t="s">
        <v>142</v>
      </c>
      <c r="C36" s="85">
        <v>39317</v>
      </c>
      <c r="D36" s="85">
        <v>51591</v>
      </c>
      <c r="E36" s="85">
        <v>49456</v>
      </c>
      <c r="F36" s="187"/>
      <c r="G36" s="150"/>
      <c r="H36" s="150"/>
      <c r="I36" s="150"/>
      <c r="J36" s="150"/>
      <c r="K36" s="150"/>
      <c r="L36" s="92"/>
      <c r="M36" s="92"/>
    </row>
    <row r="37" spans="1:14" s="116" customFormat="1" ht="14.4" customHeight="1" x14ac:dyDescent="0.3">
      <c r="A37" s="125"/>
      <c r="B37" s="175" t="s">
        <v>390</v>
      </c>
      <c r="C37" s="85">
        <v>7386</v>
      </c>
      <c r="D37" s="85">
        <v>10938</v>
      </c>
      <c r="E37" s="85">
        <v>12151</v>
      </c>
      <c r="F37" s="187"/>
      <c r="G37" s="150"/>
      <c r="H37" s="150"/>
      <c r="I37" s="150"/>
      <c r="J37" s="150"/>
      <c r="K37" s="150"/>
      <c r="L37" s="85"/>
      <c r="M37" s="85"/>
      <c r="N37" s="87"/>
    </row>
    <row r="38" spans="1:14" ht="14.4" customHeight="1" x14ac:dyDescent="0.3">
      <c r="A38" s="125"/>
      <c r="B38" s="175" t="s">
        <v>391</v>
      </c>
      <c r="C38" s="85">
        <v>1659</v>
      </c>
      <c r="D38" s="85">
        <v>3274</v>
      </c>
      <c r="E38" s="85">
        <v>3557</v>
      </c>
      <c r="F38" s="187"/>
      <c r="G38" s="150"/>
      <c r="H38" s="150"/>
      <c r="I38" s="150"/>
      <c r="J38" s="150"/>
      <c r="K38" s="150"/>
      <c r="L38" s="85"/>
      <c r="M38" s="85"/>
      <c r="N38" s="87"/>
    </row>
    <row r="39" spans="1:14" s="87" customFormat="1" ht="14.4" customHeight="1" x14ac:dyDescent="0.3">
      <c r="A39" s="125"/>
      <c r="B39" s="177" t="s">
        <v>392</v>
      </c>
      <c r="C39" s="85">
        <v>31372</v>
      </c>
      <c r="D39" s="85">
        <v>62607</v>
      </c>
      <c r="E39" s="85">
        <v>38660</v>
      </c>
      <c r="F39" s="187"/>
      <c r="G39" s="187"/>
      <c r="H39" s="187"/>
      <c r="I39" s="187"/>
      <c r="J39" s="187"/>
      <c r="K39" s="187"/>
      <c r="L39" s="85"/>
      <c r="M39" s="85"/>
    </row>
    <row r="40" spans="1:14" ht="14.4" customHeight="1" x14ac:dyDescent="0.3">
      <c r="B40" s="175" t="s">
        <v>393</v>
      </c>
      <c r="C40" s="85">
        <v>5251</v>
      </c>
      <c r="D40" s="85">
        <v>28227</v>
      </c>
      <c r="E40" s="85">
        <v>28624</v>
      </c>
      <c r="F40" s="187"/>
      <c r="G40" s="150"/>
      <c r="H40" s="150"/>
      <c r="I40" s="150"/>
      <c r="J40" s="150"/>
      <c r="K40" s="150"/>
      <c r="L40" s="92"/>
      <c r="M40" s="92"/>
    </row>
    <row r="41" spans="1:14" ht="14.4" customHeight="1" x14ac:dyDescent="0.3">
      <c r="B41" s="175" t="s">
        <v>423</v>
      </c>
      <c r="C41" s="85">
        <v>5784</v>
      </c>
      <c r="D41" s="85">
        <v>0</v>
      </c>
      <c r="E41" s="85">
        <v>0</v>
      </c>
      <c r="F41" s="187"/>
      <c r="G41" s="150"/>
      <c r="H41" s="150"/>
      <c r="I41" s="150"/>
      <c r="J41" s="150"/>
      <c r="K41" s="150"/>
      <c r="L41" s="92"/>
      <c r="M41" s="92"/>
    </row>
    <row r="42" spans="1:14" ht="14.4" customHeight="1" x14ac:dyDescent="0.3">
      <c r="A42" s="126"/>
      <c r="B42" s="175" t="s">
        <v>394</v>
      </c>
      <c r="C42" s="148">
        <v>16738</v>
      </c>
      <c r="D42" s="148">
        <v>17297</v>
      </c>
      <c r="E42" s="148">
        <v>20361</v>
      </c>
      <c r="F42" s="188"/>
      <c r="G42" s="187"/>
      <c r="H42" s="187"/>
      <c r="I42" s="187"/>
      <c r="J42" s="187"/>
      <c r="K42" s="187"/>
      <c r="L42" s="57"/>
      <c r="M42" s="57"/>
      <c r="N42" s="116"/>
    </row>
    <row r="43" spans="1:14" ht="14.4" customHeight="1" x14ac:dyDescent="0.3">
      <c r="A43" s="126"/>
      <c r="B43" s="175" t="s">
        <v>395</v>
      </c>
      <c r="C43" s="148">
        <v>0</v>
      </c>
      <c r="D43" s="148">
        <v>2000</v>
      </c>
      <c r="E43" s="148">
        <v>2000</v>
      </c>
      <c r="F43" s="148">
        <v>170510</v>
      </c>
      <c r="G43" s="85">
        <v>188397</v>
      </c>
      <c r="H43" s="182">
        <v>188397</v>
      </c>
      <c r="I43" s="182">
        <v>188397</v>
      </c>
      <c r="J43" s="182">
        <v>188397</v>
      </c>
      <c r="K43" s="182">
        <v>188397</v>
      </c>
      <c r="L43" s="57"/>
      <c r="M43" s="57"/>
      <c r="N43" s="116"/>
    </row>
    <row r="44" spans="1:14" s="116" customFormat="1" ht="14.4" customHeight="1" x14ac:dyDescent="0.3">
      <c r="A44" s="126"/>
      <c r="B44" s="137" t="s">
        <v>135</v>
      </c>
      <c r="C44" s="57">
        <f t="shared" ref="C44:J44" si="8">SUM(C34:C43)</f>
        <v>359363</v>
      </c>
      <c r="D44" s="57">
        <f t="shared" si="8"/>
        <v>399812</v>
      </c>
      <c r="E44" s="57">
        <f t="shared" si="8"/>
        <v>383677</v>
      </c>
      <c r="F44" s="57">
        <f t="shared" si="8"/>
        <v>343915</v>
      </c>
      <c r="G44" s="57">
        <f t="shared" si="8"/>
        <v>421978</v>
      </c>
      <c r="H44" s="57">
        <f t="shared" si="8"/>
        <v>188397</v>
      </c>
      <c r="I44" s="57">
        <f t="shared" si="8"/>
        <v>188397</v>
      </c>
      <c r="J44" s="57">
        <f t="shared" si="8"/>
        <v>188397</v>
      </c>
      <c r="K44" s="57">
        <f t="shared" ref="K44" si="9">SUM(K34:K43)</f>
        <v>188397</v>
      </c>
      <c r="L44" s="57"/>
      <c r="M44" s="57"/>
    </row>
    <row r="45" spans="1:14" ht="14.4" customHeight="1" x14ac:dyDescent="0.3">
      <c r="C45" s="85"/>
      <c r="D45" s="85"/>
      <c r="E45" s="148"/>
      <c r="F45" s="85"/>
      <c r="G45" s="145"/>
      <c r="H45" s="145"/>
      <c r="I45" s="145"/>
      <c r="J45" s="145"/>
      <c r="K45" s="145"/>
      <c r="L45" s="92"/>
      <c r="M45" s="92"/>
    </row>
    <row r="46" spans="1:14" ht="14.4" customHeight="1" x14ac:dyDescent="0.3">
      <c r="B46" s="178" t="s">
        <v>396</v>
      </c>
      <c r="C46" s="85"/>
      <c r="D46" s="85"/>
      <c r="E46" s="148"/>
      <c r="F46" s="85"/>
      <c r="G46" s="145"/>
      <c r="H46" s="145"/>
      <c r="I46" s="145"/>
      <c r="J46" s="145"/>
      <c r="K46" s="145"/>
      <c r="L46" s="92"/>
      <c r="M46" s="92"/>
    </row>
    <row r="47" spans="1:14" ht="14.4" customHeight="1" x14ac:dyDescent="0.3">
      <c r="B47" s="175" t="s">
        <v>397</v>
      </c>
      <c r="C47" s="85">
        <v>970039</v>
      </c>
      <c r="D47" s="85">
        <v>1035135</v>
      </c>
      <c r="E47" s="148">
        <v>833533</v>
      </c>
      <c r="F47" s="85">
        <v>772927</v>
      </c>
      <c r="G47" s="85">
        <v>802997</v>
      </c>
      <c r="H47" s="85">
        <f>G47+G34-(233581/4)+51200</f>
        <v>1029382.75</v>
      </c>
      <c r="I47" s="85">
        <f>H47+H34-(233581/4)+78000</f>
        <v>1048987.5</v>
      </c>
      <c r="J47" s="85">
        <f>I47+I34-(233581/4)</f>
        <v>990592.25</v>
      </c>
      <c r="K47" s="85">
        <f>J47+J34-(233581/4)</f>
        <v>932197</v>
      </c>
      <c r="L47" s="92"/>
      <c r="M47" s="92"/>
    </row>
    <row r="48" spans="1:14" s="87" customFormat="1" ht="14.4" customHeight="1" x14ac:dyDescent="0.3">
      <c r="A48" s="125"/>
      <c r="B48" s="177" t="s">
        <v>398</v>
      </c>
      <c r="C48" s="85">
        <v>15208</v>
      </c>
      <c r="D48" s="85">
        <v>12524</v>
      </c>
      <c r="E48" s="85">
        <v>9827</v>
      </c>
      <c r="F48" s="187"/>
      <c r="G48" s="187"/>
      <c r="H48" s="187"/>
      <c r="I48" s="187"/>
      <c r="J48" s="187"/>
      <c r="K48" s="187"/>
      <c r="L48" s="85"/>
      <c r="M48" s="85"/>
    </row>
    <row r="49" spans="1:14" ht="14.4" customHeight="1" x14ac:dyDescent="0.3">
      <c r="A49" s="125"/>
      <c r="B49" s="175" t="s">
        <v>399</v>
      </c>
      <c r="C49" s="148">
        <v>22574</v>
      </c>
      <c r="D49" s="148">
        <v>156282</v>
      </c>
      <c r="E49" s="148">
        <v>128434</v>
      </c>
      <c r="F49" s="188"/>
      <c r="G49" s="150"/>
      <c r="H49" s="150"/>
      <c r="I49" s="150"/>
      <c r="J49" s="150"/>
      <c r="K49" s="150"/>
      <c r="L49" s="85"/>
      <c r="M49" s="85"/>
      <c r="N49" s="87"/>
    </row>
    <row r="50" spans="1:14" s="87" customFormat="1" ht="14.4" customHeight="1" x14ac:dyDescent="0.3">
      <c r="A50" s="125"/>
      <c r="B50" s="177" t="s">
        <v>400</v>
      </c>
      <c r="C50" s="148">
        <v>1001</v>
      </c>
      <c r="D50" s="148">
        <v>850</v>
      </c>
      <c r="E50" s="148">
        <v>651</v>
      </c>
      <c r="F50" s="148">
        <v>121796</v>
      </c>
      <c r="G50" s="85">
        <v>114708</v>
      </c>
      <c r="H50" s="182">
        <v>114708</v>
      </c>
      <c r="I50" s="182">
        <v>114708</v>
      </c>
      <c r="J50" s="182">
        <v>114708</v>
      </c>
      <c r="K50" s="182">
        <v>114708</v>
      </c>
      <c r="L50" s="85"/>
      <c r="M50" s="85"/>
    </row>
    <row r="51" spans="1:14" s="116" customFormat="1" ht="14.4" customHeight="1" x14ac:dyDescent="0.3">
      <c r="A51" s="126"/>
      <c r="B51" s="137" t="s">
        <v>131</v>
      </c>
      <c r="C51" s="57">
        <f t="shared" ref="C51:J51" si="10">SUM(C47:C50)</f>
        <v>1008822</v>
      </c>
      <c r="D51" s="57">
        <f t="shared" si="10"/>
        <v>1204791</v>
      </c>
      <c r="E51" s="57">
        <f t="shared" si="10"/>
        <v>972445</v>
      </c>
      <c r="F51" s="57">
        <f t="shared" si="10"/>
        <v>894723</v>
      </c>
      <c r="G51" s="57">
        <f t="shared" si="10"/>
        <v>917705</v>
      </c>
      <c r="H51" s="57">
        <f t="shared" si="10"/>
        <v>1144090.75</v>
      </c>
      <c r="I51" s="57">
        <f t="shared" si="10"/>
        <v>1163695.5</v>
      </c>
      <c r="J51" s="57">
        <f t="shared" si="10"/>
        <v>1105300.25</v>
      </c>
      <c r="K51" s="57">
        <f t="shared" ref="K51" si="11">SUM(K47:K50)</f>
        <v>1046905</v>
      </c>
      <c r="L51" s="57"/>
      <c r="M51" s="57"/>
    </row>
    <row r="52" spans="1:14" ht="14.4" customHeight="1" x14ac:dyDescent="0.3">
      <c r="A52" s="126"/>
      <c r="C52" s="57"/>
      <c r="D52" s="57"/>
      <c r="E52" s="57"/>
      <c r="F52" s="57"/>
      <c r="G52" s="57"/>
      <c r="H52" s="57"/>
      <c r="I52" s="57"/>
      <c r="J52" s="57"/>
      <c r="K52" s="57"/>
      <c r="L52" s="57"/>
      <c r="M52" s="57"/>
      <c r="N52" s="116"/>
    </row>
    <row r="53" spans="1:14" s="116" customFormat="1" ht="14.4" customHeight="1" x14ac:dyDescent="0.3">
      <c r="A53" s="126"/>
      <c r="B53" s="88" t="s">
        <v>401</v>
      </c>
      <c r="C53" s="88">
        <f t="shared" ref="C53:J53" si="12">C51+C44</f>
        <v>1368185</v>
      </c>
      <c r="D53" s="88">
        <f t="shared" si="12"/>
        <v>1604603</v>
      </c>
      <c r="E53" s="88">
        <f t="shared" si="12"/>
        <v>1356122</v>
      </c>
      <c r="F53" s="88">
        <f t="shared" si="12"/>
        <v>1238638</v>
      </c>
      <c r="G53" s="88">
        <f t="shared" si="12"/>
        <v>1339683</v>
      </c>
      <c r="H53" s="88">
        <f t="shared" si="12"/>
        <v>1332487.75</v>
      </c>
      <c r="I53" s="88">
        <f t="shared" si="12"/>
        <v>1352092.5</v>
      </c>
      <c r="J53" s="88">
        <f t="shared" si="12"/>
        <v>1293697.25</v>
      </c>
      <c r="K53" s="88">
        <f t="shared" ref="K53" si="13">K51+K44</f>
        <v>1235302</v>
      </c>
      <c r="L53" s="57"/>
      <c r="M53" s="57"/>
    </row>
    <row r="54" spans="1:14" ht="14.4" customHeight="1" x14ac:dyDescent="0.3">
      <c r="A54" s="125"/>
      <c r="B54" s="140"/>
      <c r="C54" s="85"/>
      <c r="D54" s="85"/>
      <c r="E54" s="85"/>
      <c r="F54" s="85"/>
      <c r="G54" s="145"/>
      <c r="H54" s="145"/>
      <c r="I54" s="145"/>
      <c r="J54" s="145"/>
      <c r="K54" s="145"/>
      <c r="L54" s="87"/>
      <c r="M54" s="87"/>
    </row>
    <row r="55" spans="1:14" ht="14.4" customHeight="1" x14ac:dyDescent="0.3">
      <c r="B55" s="88" t="s">
        <v>145</v>
      </c>
      <c r="C55" s="88">
        <v>1660070</v>
      </c>
      <c r="D55" s="88">
        <v>2481775</v>
      </c>
      <c r="E55" s="88">
        <v>2449263</v>
      </c>
      <c r="F55" s="88">
        <v>2430159</v>
      </c>
      <c r="G55" s="88">
        <v>2514480</v>
      </c>
      <c r="H55" s="88">
        <f>G55+'P&amp;L'!H35+CashFlow!H60+CashFlow!H61+CashFlow!H63</f>
        <v>2587342.9887999999</v>
      </c>
      <c r="I55" s="88">
        <f>H55+'P&amp;L'!I35+CashFlow!I60+CashFlow!I61+CashFlow!I63</f>
        <v>2666397.7959495001</v>
      </c>
      <c r="J55" s="88">
        <f>I55+'P&amp;L'!J35+CashFlow!J60+CashFlow!J61+CashFlow!J63</f>
        <v>2782289.8432624</v>
      </c>
      <c r="K55" s="88">
        <f>J55+'P&amp;L'!K35+CashFlow!K60+CashFlow!K61+CashFlow!K63</f>
        <v>2812304.4999196474</v>
      </c>
    </row>
    <row r="57" spans="1:14" ht="14.4" customHeight="1" x14ac:dyDescent="0.3">
      <c r="B57" s="88" t="s">
        <v>128</v>
      </c>
      <c r="C57" s="88">
        <f t="shared" ref="C57:J57" si="14">C53+C55</f>
        <v>3028255</v>
      </c>
      <c r="D57" s="88">
        <f t="shared" si="14"/>
        <v>4086378</v>
      </c>
      <c r="E57" s="88">
        <f t="shared" si="14"/>
        <v>3805385</v>
      </c>
      <c r="F57" s="88">
        <f t="shared" si="14"/>
        <v>3668797</v>
      </c>
      <c r="G57" s="88">
        <f t="shared" si="14"/>
        <v>3854163</v>
      </c>
      <c r="H57" s="88">
        <f t="shared" si="14"/>
        <v>3919830.7387999999</v>
      </c>
      <c r="I57" s="88">
        <f t="shared" si="14"/>
        <v>4018490.2959495001</v>
      </c>
      <c r="J57" s="88">
        <f t="shared" si="14"/>
        <v>4075987.0932624</v>
      </c>
      <c r="K57" s="88">
        <f t="shared" ref="K57" si="15">K53+K55</f>
        <v>4047606.4999196474</v>
      </c>
    </row>
    <row r="58" spans="1:14" ht="14.4" customHeight="1" x14ac:dyDescent="0.3">
      <c r="B58" s="84" t="s">
        <v>112</v>
      </c>
      <c r="C58" s="84">
        <f t="shared" ref="C58:J58" si="16">C30-C57</f>
        <v>0</v>
      </c>
      <c r="D58" s="84">
        <f t="shared" si="16"/>
        <v>0</v>
      </c>
      <c r="E58" s="84">
        <f t="shared" si="16"/>
        <v>0</v>
      </c>
      <c r="F58" s="84">
        <f t="shared" si="16"/>
        <v>0</v>
      </c>
      <c r="G58" s="84">
        <f t="shared" si="16"/>
        <v>0</v>
      </c>
      <c r="H58" s="84">
        <f t="shared" si="16"/>
        <v>0</v>
      </c>
      <c r="I58" s="84">
        <f t="shared" si="16"/>
        <v>0</v>
      </c>
      <c r="J58" s="84">
        <f t="shared" si="16"/>
        <v>0</v>
      </c>
      <c r="K58" s="84">
        <f t="shared" ref="K58" si="17">K30-K57</f>
        <v>0</v>
      </c>
    </row>
    <row r="61" spans="1:14" ht="14.4" customHeight="1" x14ac:dyDescent="0.3">
      <c r="B61" s="80" t="s">
        <v>113</v>
      </c>
      <c r="C61" s="81"/>
      <c r="D61" s="81"/>
      <c r="E61" s="81"/>
      <c r="F61" s="81"/>
      <c r="G61" s="81"/>
      <c r="H61" s="82"/>
      <c r="I61" s="82"/>
      <c r="J61" s="82"/>
      <c r="K61" s="82"/>
    </row>
    <row r="62" spans="1:14" ht="14.4" customHeight="1" x14ac:dyDescent="0.3">
      <c r="B62" t="s">
        <v>70</v>
      </c>
      <c r="C62" s="89">
        <f>C34+C35+C47+C48</f>
        <v>1237103</v>
      </c>
      <c r="D62" s="89">
        <f t="shared" ref="D62:J62" si="18">D34+D35+D47+D48</f>
        <v>1271537</v>
      </c>
      <c r="E62" s="89">
        <f t="shared" si="18"/>
        <v>1072228</v>
      </c>
      <c r="F62" s="89">
        <f t="shared" si="18"/>
        <v>946332</v>
      </c>
      <c r="G62" s="89">
        <f t="shared" si="18"/>
        <v>1036578</v>
      </c>
      <c r="H62" s="89">
        <f t="shared" si="18"/>
        <v>1029382.75</v>
      </c>
      <c r="I62" s="89">
        <f t="shared" si="18"/>
        <v>1048987.5</v>
      </c>
      <c r="J62" s="89">
        <f t="shared" si="18"/>
        <v>990592.25</v>
      </c>
      <c r="K62" s="89">
        <f t="shared" ref="K62" si="19">K34+K35+K47+K48</f>
        <v>932197</v>
      </c>
    </row>
    <row r="63" spans="1:14" ht="14.4" customHeight="1" x14ac:dyDescent="0.3">
      <c r="B63" s="103" t="s">
        <v>114</v>
      </c>
      <c r="C63" s="104"/>
      <c r="D63" s="127">
        <f>D62/C62-1</f>
        <v>2.7834384040779092E-2</v>
      </c>
      <c r="E63" s="127">
        <f t="shared" ref="E63:K63" si="20">E62/D62-1</f>
        <v>-0.15674652015631474</v>
      </c>
      <c r="F63" s="127">
        <f t="shared" si="20"/>
        <v>-0.11741532584487624</v>
      </c>
      <c r="G63" s="127">
        <f t="shared" si="20"/>
        <v>9.5363994877062153E-2</v>
      </c>
      <c r="H63" s="127">
        <f t="shared" si="20"/>
        <v>-6.9413493244117053E-3</v>
      </c>
      <c r="I63" s="127">
        <f t="shared" si="20"/>
        <v>1.9045151086901413E-2</v>
      </c>
      <c r="J63" s="127">
        <f t="shared" si="20"/>
        <v>-5.5668203863249111E-2</v>
      </c>
      <c r="K63" s="127">
        <f t="shared" si="20"/>
        <v>-5.8949835313167442E-2</v>
      </c>
    </row>
    <row r="64" spans="1:14" ht="14.4" customHeight="1" x14ac:dyDescent="0.3">
      <c r="B64" t="s">
        <v>115</v>
      </c>
      <c r="C64" s="89">
        <f t="shared" ref="C64:J64" si="21">C62-C4-C5-C24</f>
        <v>975353</v>
      </c>
      <c r="D64" s="89">
        <f t="shared" si="21"/>
        <v>830657</v>
      </c>
      <c r="E64" s="89">
        <f t="shared" si="21"/>
        <v>570294</v>
      </c>
      <c r="F64" s="89">
        <f t="shared" si="21"/>
        <v>536900</v>
      </c>
      <c r="G64" s="89">
        <f t="shared" si="21"/>
        <v>471296</v>
      </c>
      <c r="H64" s="89">
        <f t="shared" si="21"/>
        <v>408900.01120000007</v>
      </c>
      <c r="I64" s="89">
        <f t="shared" si="21"/>
        <v>359362.20405050018</v>
      </c>
      <c r="J64" s="89">
        <f t="shared" si="21"/>
        <v>208687.15673759999</v>
      </c>
      <c r="K64" s="89">
        <f t="shared" ref="K64" si="22">K62-K4-K5-K24</f>
        <v>143889.50008035265</v>
      </c>
    </row>
    <row r="65" spans="2:11" ht="14.4" customHeight="1" x14ac:dyDescent="0.3">
      <c r="B65" s="103" t="s">
        <v>116</v>
      </c>
      <c r="C65" s="104"/>
      <c r="D65" s="127">
        <f>D64/C64-1</f>
        <v>-0.14835244265409553</v>
      </c>
      <c r="E65" s="127">
        <f t="shared" ref="E65" si="23">E64/D64-1</f>
        <v>-0.31344225113374113</v>
      </c>
      <c r="F65" s="127">
        <f t="shared" ref="F65" si="24">F64/E64-1</f>
        <v>-5.8555762466376948E-2</v>
      </c>
      <c r="G65" s="127">
        <f t="shared" ref="G65" si="25">G64/F64-1</f>
        <v>-0.12219035202086048</v>
      </c>
      <c r="H65" s="127">
        <f t="shared" ref="H65" si="26">H64/G64-1</f>
        <v>-0.13239235809342731</v>
      </c>
      <c r="I65" s="127">
        <f t="shared" ref="I65" si="27">I64/H64-1</f>
        <v>-0.12114895033659001</v>
      </c>
      <c r="J65" s="127">
        <f t="shared" ref="J65:K65" si="28">J64/I64-1</f>
        <v>-0.41928462596953087</v>
      </c>
      <c r="K65" s="127">
        <f t="shared" si="28"/>
        <v>-0.31050141115642738</v>
      </c>
    </row>
    <row r="66" spans="2:11" ht="14.4" customHeight="1" x14ac:dyDescent="0.3">
      <c r="B66"/>
      <c r="C66" s="105"/>
      <c r="D66" s="105"/>
    </row>
    <row r="67" spans="2:11" ht="14.4" customHeight="1" x14ac:dyDescent="0.3">
      <c r="B67"/>
      <c r="C67" s="105"/>
      <c r="D67" s="105"/>
    </row>
    <row r="68" spans="2:11" ht="14.4" customHeight="1" x14ac:dyDescent="0.3">
      <c r="B68" s="80" t="s">
        <v>72</v>
      </c>
      <c r="C68" s="81"/>
      <c r="D68" s="81"/>
      <c r="E68" s="81"/>
      <c r="F68" s="81"/>
      <c r="G68" s="81"/>
      <c r="H68" s="82"/>
      <c r="I68" s="82"/>
      <c r="J68" s="82"/>
      <c r="K68" s="82"/>
    </row>
    <row r="69" spans="2:11" ht="14.4" customHeight="1" x14ac:dyDescent="0.3">
      <c r="B69"/>
      <c r="C69" s="105"/>
      <c r="D69" s="105"/>
    </row>
    <row r="70" spans="2:11" ht="14.4" customHeight="1" x14ac:dyDescent="0.3">
      <c r="B70" s="106" t="s">
        <v>72</v>
      </c>
      <c r="C70" s="151">
        <f t="shared" ref="C70:J70" si="29">C6+C7+C8+C9+C10+C11+C12+C13+C14+C18-C36-C37-C38-C39-C40-C41-C42-C43</f>
        <v>87161</v>
      </c>
      <c r="D70" s="151">
        <f t="shared" si="29"/>
        <v>74281</v>
      </c>
      <c r="E70" s="151">
        <f t="shared" si="29"/>
        <v>115494</v>
      </c>
      <c r="F70" s="151">
        <f t="shared" si="29"/>
        <v>115876</v>
      </c>
      <c r="G70" s="151">
        <f t="shared" si="29"/>
        <v>118744</v>
      </c>
      <c r="H70" s="151">
        <f t="shared" si="29"/>
        <v>107794</v>
      </c>
      <c r="I70" s="151">
        <f t="shared" si="29"/>
        <v>107794</v>
      </c>
      <c r="J70" s="151">
        <f t="shared" si="29"/>
        <v>107794</v>
      </c>
      <c r="K70" s="151">
        <f t="shared" ref="K70" si="30">K6+K7+K8+K9+K10+K11+K12+K13+K14+K18-K36-K37-K38-K39-K40-K41-K42-K43</f>
        <v>107794</v>
      </c>
    </row>
    <row r="71" spans="2:11" ht="14.4" customHeight="1" x14ac:dyDescent="0.3">
      <c r="B71" s="103" t="s">
        <v>117</v>
      </c>
      <c r="C71" s="107"/>
      <c r="D71" s="107">
        <f t="shared" ref="D71:K71" si="31">D70/C70-1</f>
        <v>-0.14777251293583138</v>
      </c>
      <c r="E71" s="107">
        <f t="shared" si="31"/>
        <v>0.55482559470120218</v>
      </c>
      <c r="F71" s="107">
        <f t="shared" si="31"/>
        <v>3.3075311271582031E-3</v>
      </c>
      <c r="G71" s="107">
        <f t="shared" si="31"/>
        <v>2.4750595464116731E-2</v>
      </c>
      <c r="H71" s="107">
        <f t="shared" si="31"/>
        <v>-9.2215185609378136E-2</v>
      </c>
      <c r="I71" s="107">
        <f t="shared" si="31"/>
        <v>0</v>
      </c>
      <c r="J71" s="107">
        <f t="shared" si="31"/>
        <v>0</v>
      </c>
      <c r="K71" s="107">
        <f t="shared" si="31"/>
        <v>0</v>
      </c>
    </row>
    <row r="72" spans="2:11" ht="14.4" customHeight="1" x14ac:dyDescent="0.3">
      <c r="B72" s="108"/>
      <c r="C72" s="107"/>
      <c r="D72" s="107"/>
    </row>
    <row r="74" spans="2:11" ht="14.4" customHeight="1" x14ac:dyDescent="0.3">
      <c r="B74" s="80" t="s">
        <v>118</v>
      </c>
      <c r="C74" s="81"/>
      <c r="D74" s="81"/>
      <c r="E74" s="81"/>
      <c r="F74" s="81"/>
      <c r="G74" s="81"/>
      <c r="H74" s="82"/>
      <c r="I74" s="82"/>
      <c r="J74" s="82"/>
      <c r="K74" s="82"/>
    </row>
    <row r="75" spans="2:11" ht="14.4" customHeight="1" x14ac:dyDescent="0.3">
      <c r="B75" s="116" t="s">
        <v>118</v>
      </c>
      <c r="C75" s="116"/>
      <c r="D75" s="116"/>
      <c r="E75" s="116"/>
      <c r="F75" s="116"/>
      <c r="G75" s="137"/>
      <c r="H75" s="189">
        <f>56100+5100</f>
        <v>61200</v>
      </c>
      <c r="I75" s="189">
        <f>65800+3500</f>
        <v>69300</v>
      </c>
      <c r="J75" s="189">
        <v>5000</v>
      </c>
      <c r="K75" s="189">
        <v>5000</v>
      </c>
    </row>
  </sheetData>
  <pageMargins left="0.7" right="0.7" top="0.75" bottom="0.75" header="0.3" footer="0.3"/>
  <pageSetup paperSize="9" orientation="portrait" horizontalDpi="0" verticalDpi="0" r:id="rId1"/>
  <ignoredErrors>
    <ignoredError sqref="D64:J64"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73"/>
  <sheetViews>
    <sheetView showGridLines="0" zoomScale="85" zoomScaleNormal="85" workbookViewId="0">
      <pane xSplit="2" ySplit="1" topLeftCell="C35" activePane="bottomRight" state="frozen"/>
      <selection pane="topRight" activeCell="C1" sqref="C1"/>
      <selection pane="bottomLeft" activeCell="A2" sqref="A2"/>
      <selection pane="bottomRight" activeCell="K60" sqref="K60"/>
    </sheetView>
  </sheetViews>
  <sheetFormatPr baseColWidth="10" defaultColWidth="12.77734375" defaultRowHeight="14.4" customHeight="1" outlineLevelCol="1" x14ac:dyDescent="0.3"/>
  <cols>
    <col min="1" max="1" width="2.77734375" style="102" customWidth="1"/>
    <col min="2" max="2" width="46.33203125" style="84" bestFit="1" customWidth="1"/>
    <col min="3" max="5" width="0" style="84" hidden="1" customWidth="1" outlineLevel="1"/>
    <col min="6" max="6" width="12.77734375" style="84" collapsed="1"/>
    <col min="7" max="16384" width="12.77734375" style="84"/>
  </cols>
  <sheetData>
    <row r="1" spans="1:264" customFormat="1" ht="14.4" customHeight="1" x14ac:dyDescent="0.3">
      <c r="A1" s="27"/>
      <c r="B1" s="80" t="s">
        <v>148</v>
      </c>
      <c r="C1" s="81">
        <v>2023</v>
      </c>
      <c r="D1" s="81">
        <v>2024</v>
      </c>
      <c r="E1" s="81">
        <v>2025</v>
      </c>
      <c r="F1" s="81" t="s">
        <v>64</v>
      </c>
      <c r="G1" s="82" t="s">
        <v>65</v>
      </c>
      <c r="H1" s="82" t="s">
        <v>66</v>
      </c>
      <c r="I1" s="82" t="s">
        <v>67</v>
      </c>
      <c r="J1" s="82" t="s">
        <v>68</v>
      </c>
      <c r="K1" s="82" t="s">
        <v>467</v>
      </c>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c r="IK1" s="101"/>
      <c r="IL1" s="101"/>
      <c r="IM1" s="101"/>
      <c r="IN1" s="101"/>
      <c r="IO1" s="101"/>
      <c r="IP1" s="101"/>
      <c r="IQ1" s="101"/>
      <c r="IR1" s="101"/>
      <c r="IS1" s="101"/>
      <c r="IT1" s="101"/>
      <c r="IU1" s="101"/>
      <c r="IV1" s="101"/>
      <c r="IW1" s="101"/>
      <c r="IX1" s="101"/>
      <c r="IY1" s="101"/>
      <c r="IZ1" s="101"/>
      <c r="JA1" s="101"/>
      <c r="JB1" s="101"/>
      <c r="JC1" s="101"/>
      <c r="JD1" s="101"/>
    </row>
    <row r="2" spans="1:264" s="16" customFormat="1" ht="14.4" customHeight="1" x14ac:dyDescent="0.3">
      <c r="A2" s="44"/>
      <c r="B2" s="109"/>
      <c r="C2" s="110"/>
      <c r="D2" s="110"/>
      <c r="E2" s="110"/>
      <c r="F2" s="110"/>
      <c r="G2" s="110"/>
      <c r="H2" s="110"/>
      <c r="I2" s="110"/>
      <c r="J2" s="110"/>
      <c r="K2" s="110"/>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c r="EG2" s="111"/>
      <c r="EH2" s="111"/>
      <c r="EI2" s="111"/>
      <c r="EJ2" s="111"/>
      <c r="EK2" s="111"/>
      <c r="EL2" s="111"/>
      <c r="EM2" s="111"/>
      <c r="EN2" s="111"/>
      <c r="EO2" s="111"/>
      <c r="EP2" s="111"/>
      <c r="EQ2" s="111"/>
      <c r="ER2" s="111"/>
      <c r="ES2" s="111"/>
      <c r="ET2" s="111"/>
      <c r="EU2" s="111"/>
      <c r="EV2" s="111"/>
      <c r="EW2" s="111"/>
      <c r="EX2" s="111"/>
      <c r="EY2" s="111"/>
      <c r="EZ2" s="111"/>
      <c r="FA2" s="111"/>
      <c r="FB2" s="111"/>
      <c r="FC2" s="111"/>
      <c r="FD2" s="111"/>
      <c r="FE2" s="111"/>
      <c r="FF2" s="111"/>
      <c r="FG2" s="111"/>
      <c r="FH2" s="111"/>
      <c r="FI2" s="111"/>
      <c r="FJ2" s="111"/>
      <c r="FK2" s="111"/>
      <c r="FL2" s="111"/>
      <c r="FM2" s="111"/>
      <c r="FN2" s="111"/>
      <c r="FO2" s="111"/>
      <c r="FP2" s="111"/>
      <c r="FQ2" s="111"/>
      <c r="FR2" s="111"/>
      <c r="FS2" s="111"/>
      <c r="FT2" s="111"/>
      <c r="FU2" s="111"/>
      <c r="FV2" s="111"/>
      <c r="FW2" s="111"/>
      <c r="FX2" s="111"/>
      <c r="FY2" s="111"/>
      <c r="FZ2" s="111"/>
      <c r="GA2" s="111"/>
      <c r="GB2" s="111"/>
      <c r="GC2" s="111"/>
      <c r="GD2" s="111"/>
      <c r="GE2" s="111"/>
      <c r="GF2" s="111"/>
      <c r="GG2" s="111"/>
      <c r="GH2" s="111"/>
      <c r="GI2" s="111"/>
      <c r="GJ2" s="111"/>
      <c r="GK2" s="111"/>
      <c r="GL2" s="111"/>
      <c r="GM2" s="111"/>
      <c r="GN2" s="111"/>
      <c r="GO2" s="111"/>
      <c r="GP2" s="111"/>
      <c r="GQ2" s="111"/>
      <c r="GR2" s="111"/>
      <c r="GS2" s="111"/>
      <c r="GT2" s="111"/>
      <c r="GU2" s="111"/>
      <c r="GV2" s="111"/>
      <c r="GW2" s="111"/>
      <c r="GX2" s="111"/>
      <c r="GY2" s="111"/>
      <c r="GZ2" s="111"/>
      <c r="HA2" s="111"/>
      <c r="HB2" s="111"/>
      <c r="HC2" s="111"/>
      <c r="HD2" s="111"/>
      <c r="HE2" s="111"/>
      <c r="HF2" s="111"/>
      <c r="HG2" s="111"/>
      <c r="HH2" s="111"/>
      <c r="HI2" s="111"/>
      <c r="HJ2" s="111"/>
      <c r="HK2" s="111"/>
      <c r="HL2" s="111"/>
      <c r="HM2" s="111"/>
      <c r="HN2" s="111"/>
      <c r="HO2" s="111"/>
      <c r="HP2" s="111"/>
      <c r="HQ2" s="111"/>
      <c r="HR2" s="111"/>
      <c r="HS2" s="111"/>
      <c r="HT2" s="111"/>
      <c r="HU2" s="111"/>
      <c r="HV2" s="111"/>
      <c r="HW2" s="111"/>
      <c r="HX2" s="111"/>
      <c r="HY2" s="111"/>
      <c r="HZ2" s="111"/>
      <c r="IA2" s="111"/>
      <c r="IB2" s="111"/>
      <c r="IC2" s="111"/>
      <c r="ID2" s="111"/>
      <c r="IE2" s="111"/>
      <c r="IF2" s="111"/>
      <c r="IG2" s="111"/>
      <c r="IH2" s="111"/>
      <c r="II2" s="111"/>
      <c r="IJ2" s="111"/>
      <c r="IK2" s="111"/>
      <c r="IL2" s="111"/>
      <c r="IM2" s="111"/>
      <c r="IN2" s="111"/>
      <c r="IO2" s="111"/>
      <c r="IP2" s="111"/>
      <c r="IQ2" s="111"/>
      <c r="IR2" s="111"/>
      <c r="IS2" s="111"/>
      <c r="IT2" s="111"/>
      <c r="IU2" s="111"/>
      <c r="IV2" s="111"/>
      <c r="IW2" s="111"/>
      <c r="IX2" s="111"/>
      <c r="IY2" s="111"/>
      <c r="IZ2" s="111"/>
      <c r="JA2" s="111"/>
      <c r="JB2" s="111"/>
      <c r="JC2" s="111"/>
      <c r="JD2" s="111"/>
    </row>
    <row r="3" spans="1:264" s="19" customFormat="1" ht="14.4" customHeight="1" x14ac:dyDescent="0.3">
      <c r="A3" s="112"/>
      <c r="B3" s="113" t="s">
        <v>119</v>
      </c>
      <c r="C3" s="114"/>
      <c r="D3" s="114"/>
      <c r="E3" s="114"/>
      <c r="F3" s="114"/>
      <c r="G3" s="114"/>
      <c r="H3" s="114"/>
      <c r="I3" s="114"/>
      <c r="J3" s="114"/>
      <c r="K3" s="114"/>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115"/>
      <c r="BN3" s="115"/>
      <c r="BO3" s="115"/>
      <c r="BP3" s="115"/>
      <c r="BQ3" s="115"/>
      <c r="BR3" s="115"/>
      <c r="BS3" s="115"/>
      <c r="BT3" s="115"/>
      <c r="BU3" s="115"/>
      <c r="BV3" s="115"/>
      <c r="BW3" s="115"/>
      <c r="BX3" s="115"/>
      <c r="BY3" s="115"/>
      <c r="BZ3" s="115"/>
      <c r="CA3" s="115"/>
      <c r="CB3" s="115"/>
      <c r="CC3" s="115"/>
      <c r="CD3" s="115"/>
      <c r="CE3" s="115"/>
      <c r="CF3" s="115"/>
      <c r="CG3" s="115"/>
      <c r="CH3" s="115"/>
      <c r="CI3" s="115"/>
      <c r="CJ3" s="115"/>
      <c r="CK3" s="115"/>
      <c r="CL3" s="115"/>
      <c r="CM3" s="115"/>
      <c r="CN3" s="115"/>
      <c r="CO3" s="115"/>
      <c r="CP3" s="115"/>
      <c r="CQ3" s="115"/>
      <c r="CR3" s="115"/>
      <c r="CS3" s="115"/>
      <c r="CT3" s="115"/>
      <c r="CU3" s="115"/>
      <c r="CV3" s="115"/>
      <c r="CW3" s="115"/>
      <c r="CX3" s="115"/>
      <c r="CY3" s="115"/>
      <c r="CZ3" s="115"/>
      <c r="DA3" s="115"/>
      <c r="DB3" s="115"/>
      <c r="DC3" s="115"/>
      <c r="DD3" s="115"/>
      <c r="DE3" s="115"/>
      <c r="DF3" s="115"/>
      <c r="DG3" s="115"/>
      <c r="DH3" s="115"/>
      <c r="DI3" s="115"/>
      <c r="DJ3" s="115"/>
      <c r="DK3" s="115"/>
      <c r="DL3" s="115"/>
      <c r="DM3" s="115"/>
      <c r="DN3" s="115"/>
      <c r="DO3" s="115"/>
      <c r="DP3" s="115"/>
      <c r="DQ3" s="115"/>
      <c r="DR3" s="115"/>
      <c r="DS3" s="115"/>
      <c r="DT3" s="115"/>
      <c r="DU3" s="115"/>
      <c r="DV3" s="115"/>
      <c r="DW3" s="115"/>
      <c r="DX3" s="115"/>
      <c r="DY3" s="115"/>
      <c r="DZ3" s="115"/>
      <c r="EA3" s="115"/>
      <c r="EB3" s="115"/>
      <c r="EC3" s="115"/>
      <c r="ED3" s="115"/>
      <c r="EE3" s="115"/>
      <c r="EF3" s="115"/>
      <c r="EG3" s="115"/>
      <c r="EH3" s="115"/>
      <c r="EI3" s="115"/>
      <c r="EJ3" s="115"/>
      <c r="EK3" s="115"/>
      <c r="EL3" s="115"/>
      <c r="EM3" s="115"/>
      <c r="EN3" s="115"/>
      <c r="EO3" s="115"/>
      <c r="EP3" s="115"/>
      <c r="EQ3" s="115"/>
      <c r="ER3" s="115"/>
      <c r="ES3" s="115"/>
      <c r="ET3" s="115"/>
      <c r="EU3" s="115"/>
      <c r="EV3" s="115"/>
      <c r="EW3" s="115"/>
      <c r="EX3" s="115"/>
      <c r="EY3" s="115"/>
      <c r="EZ3" s="115"/>
      <c r="FA3" s="115"/>
      <c r="FB3" s="115"/>
      <c r="FC3" s="115"/>
      <c r="FD3" s="115"/>
      <c r="FE3" s="115"/>
      <c r="FF3" s="115"/>
      <c r="FG3" s="115"/>
      <c r="FH3" s="115"/>
      <c r="FI3" s="115"/>
      <c r="FJ3" s="115"/>
      <c r="FK3" s="115"/>
      <c r="FL3" s="115"/>
      <c r="FM3" s="115"/>
      <c r="FN3" s="115"/>
      <c r="FO3" s="115"/>
      <c r="FP3" s="115"/>
      <c r="FQ3" s="115"/>
      <c r="FR3" s="115"/>
      <c r="FS3" s="115"/>
      <c r="FT3" s="115"/>
      <c r="FU3" s="115"/>
      <c r="FV3" s="115"/>
      <c r="FW3" s="115"/>
      <c r="FX3" s="115"/>
      <c r="FY3" s="115"/>
      <c r="FZ3" s="115"/>
      <c r="GA3" s="115"/>
      <c r="GB3" s="115"/>
      <c r="GC3" s="115"/>
      <c r="GD3" s="115"/>
      <c r="GE3" s="115"/>
      <c r="GF3" s="115"/>
      <c r="GG3" s="115"/>
      <c r="GH3" s="115"/>
      <c r="GI3" s="115"/>
      <c r="GJ3" s="115"/>
      <c r="GK3" s="115"/>
      <c r="GL3" s="115"/>
      <c r="GM3" s="115"/>
      <c r="GN3" s="115"/>
      <c r="GO3" s="115"/>
      <c r="GP3" s="115"/>
      <c r="GQ3" s="115"/>
      <c r="GR3" s="115"/>
      <c r="GS3" s="115"/>
      <c r="GT3" s="115"/>
      <c r="GU3" s="115"/>
      <c r="GV3" s="115"/>
      <c r="GW3" s="115"/>
      <c r="GX3" s="115"/>
      <c r="GY3" s="115"/>
      <c r="GZ3" s="115"/>
      <c r="HA3" s="115"/>
      <c r="HB3" s="115"/>
      <c r="HC3" s="115"/>
      <c r="HD3" s="115"/>
      <c r="HE3" s="115"/>
      <c r="HF3" s="115"/>
      <c r="HG3" s="115"/>
      <c r="HH3" s="115"/>
      <c r="HI3" s="115"/>
      <c r="HJ3" s="115"/>
      <c r="HK3" s="115"/>
      <c r="HL3" s="115"/>
      <c r="HM3" s="115"/>
      <c r="HN3" s="115"/>
      <c r="HO3" s="115"/>
      <c r="HP3" s="115"/>
      <c r="HQ3" s="115"/>
      <c r="HR3" s="115"/>
      <c r="HS3" s="115"/>
      <c r="HT3" s="115"/>
      <c r="HU3" s="115"/>
      <c r="HV3" s="115"/>
      <c r="HW3" s="115"/>
      <c r="HX3" s="115"/>
      <c r="HY3" s="115"/>
      <c r="HZ3" s="115"/>
      <c r="IA3" s="115"/>
      <c r="IB3" s="115"/>
      <c r="IC3" s="115"/>
      <c r="ID3" s="115"/>
      <c r="IE3" s="115"/>
      <c r="IF3" s="115"/>
      <c r="IG3" s="115"/>
      <c r="IH3" s="115"/>
      <c r="II3" s="115"/>
      <c r="IJ3" s="115"/>
      <c r="IK3" s="115"/>
      <c r="IL3" s="115"/>
      <c r="IM3" s="115"/>
      <c r="IN3" s="115"/>
      <c r="IO3" s="115"/>
      <c r="IP3" s="115"/>
      <c r="IQ3" s="115"/>
      <c r="IR3" s="115"/>
      <c r="IS3" s="115"/>
      <c r="IT3" s="115"/>
      <c r="IU3" s="115"/>
      <c r="IV3" s="115"/>
      <c r="IW3" s="115"/>
      <c r="IX3" s="115"/>
      <c r="IY3" s="115"/>
      <c r="IZ3" s="115"/>
      <c r="JA3" s="115"/>
      <c r="JB3" s="115"/>
      <c r="JC3" s="115"/>
      <c r="JD3" s="115"/>
    </row>
    <row r="4" spans="1:264" s="116" customFormat="1" ht="14.4" customHeight="1" x14ac:dyDescent="0.3">
      <c r="A4" s="126"/>
      <c r="B4" s="116" t="s">
        <v>143</v>
      </c>
      <c r="C4" s="57">
        <v>173556</v>
      </c>
      <c r="D4" s="57">
        <v>304654</v>
      </c>
      <c r="E4" s="57">
        <v>84174</v>
      </c>
      <c r="F4" s="190"/>
      <c r="G4" s="190"/>
      <c r="H4" s="57">
        <f>'P&amp;L'!H35</f>
        <v>173019.97839999996</v>
      </c>
      <c r="I4" s="57">
        <f>'P&amp;L'!I35</f>
        <v>151712.53554949991</v>
      </c>
      <c r="J4" s="57">
        <f>'P&amp;L'!J35</f>
        <v>179692.33286240016</v>
      </c>
      <c r="K4" s="57">
        <f>'P&amp;L'!K35</f>
        <v>186094.7395196475</v>
      </c>
      <c r="L4" s="139"/>
    </row>
    <row r="5" spans="1:264" s="87" customFormat="1" ht="14.4" customHeight="1" x14ac:dyDescent="0.3">
      <c r="A5" s="125"/>
      <c r="B5" s="84" t="s">
        <v>402</v>
      </c>
      <c r="C5" s="85"/>
      <c r="D5" s="85"/>
      <c r="E5" s="85"/>
      <c r="F5" s="85"/>
      <c r="G5" s="85"/>
      <c r="H5" s="85"/>
      <c r="I5" s="85"/>
      <c r="J5" s="85"/>
      <c r="K5" s="85"/>
      <c r="L5" s="138"/>
    </row>
    <row r="6" spans="1:264" ht="14.4" customHeight="1" x14ac:dyDescent="0.3">
      <c r="B6" s="175" t="s">
        <v>347</v>
      </c>
      <c r="C6" s="85">
        <v>138429</v>
      </c>
      <c r="D6" s="85">
        <v>164055</v>
      </c>
      <c r="E6" s="85">
        <v>168277</v>
      </c>
      <c r="F6" s="187"/>
      <c r="G6" s="187"/>
      <c r="H6" s="85">
        <f>'P&amp;L'!H11</f>
        <v>39783</v>
      </c>
      <c r="I6" s="85">
        <f>'P&amp;L'!I11</f>
        <v>39783</v>
      </c>
      <c r="J6" s="85">
        <f>'P&amp;L'!J11</f>
        <v>39783</v>
      </c>
      <c r="K6" s="85">
        <f>'P&amp;L'!K11</f>
        <v>39783</v>
      </c>
      <c r="L6" s="100"/>
    </row>
    <row r="7" spans="1:264" ht="14.4" customHeight="1" x14ac:dyDescent="0.3">
      <c r="B7" s="175" t="s">
        <v>424</v>
      </c>
      <c r="C7" s="85">
        <v>3661</v>
      </c>
      <c r="D7" s="85">
        <v>3583</v>
      </c>
      <c r="E7" s="85">
        <v>3141</v>
      </c>
      <c r="F7" s="187"/>
      <c r="G7" s="187"/>
      <c r="H7" s="184">
        <v>0</v>
      </c>
      <c r="I7" s="184">
        <v>0</v>
      </c>
      <c r="J7" s="184">
        <v>0</v>
      </c>
      <c r="K7" s="184">
        <v>0</v>
      </c>
      <c r="L7" s="100"/>
    </row>
    <row r="8" spans="1:264" ht="14.4" customHeight="1" x14ac:dyDescent="0.3">
      <c r="B8" s="175" t="s">
        <v>425</v>
      </c>
      <c r="C8" s="85">
        <v>9793</v>
      </c>
      <c r="D8" s="85">
        <v>18385</v>
      </c>
      <c r="E8" s="85">
        <v>28377</v>
      </c>
      <c r="F8" s="187"/>
      <c r="G8" s="187"/>
      <c r="H8" s="184">
        <v>0</v>
      </c>
      <c r="I8" s="184">
        <v>0</v>
      </c>
      <c r="J8" s="184">
        <v>0</v>
      </c>
      <c r="K8" s="184">
        <v>0</v>
      </c>
      <c r="L8" s="100"/>
    </row>
    <row r="9" spans="1:264" ht="14.4" customHeight="1" x14ac:dyDescent="0.3">
      <c r="B9" s="175" t="s">
        <v>350</v>
      </c>
      <c r="C9" s="85">
        <v>17838</v>
      </c>
      <c r="D9" s="85">
        <v>1800</v>
      </c>
      <c r="E9" s="85">
        <v>0</v>
      </c>
      <c r="F9" s="187"/>
      <c r="G9" s="187"/>
      <c r="H9" s="184">
        <v>0</v>
      </c>
      <c r="I9" s="184">
        <v>0</v>
      </c>
      <c r="J9" s="184">
        <v>0</v>
      </c>
      <c r="K9" s="184">
        <v>0</v>
      </c>
      <c r="L9" s="100"/>
    </row>
    <row r="10" spans="1:264" ht="14.4" customHeight="1" x14ac:dyDescent="0.3">
      <c r="B10" s="175" t="s">
        <v>403</v>
      </c>
      <c r="C10" s="85">
        <v>-29399</v>
      </c>
      <c r="D10" s="85">
        <v>-43287</v>
      </c>
      <c r="E10" s="85">
        <v>18313</v>
      </c>
      <c r="F10" s="187"/>
      <c r="G10" s="187"/>
      <c r="H10" s="184">
        <f>'P&amp;L'!H20</f>
        <v>-20550</v>
      </c>
      <c r="I10" s="184">
        <v>0</v>
      </c>
      <c r="J10" s="184">
        <v>0</v>
      </c>
      <c r="K10" s="184">
        <v>0</v>
      </c>
      <c r="L10" s="100"/>
    </row>
    <row r="11" spans="1:264" ht="14.4" customHeight="1" x14ac:dyDescent="0.3">
      <c r="B11" s="175" t="s">
        <v>361</v>
      </c>
      <c r="C11" s="85">
        <v>5149</v>
      </c>
      <c r="D11" s="85">
        <v>1144</v>
      </c>
      <c r="E11" s="85">
        <v>431</v>
      </c>
      <c r="F11" s="187"/>
      <c r="G11" s="187"/>
      <c r="H11" s="184">
        <v>0</v>
      </c>
      <c r="I11" s="184">
        <v>0</v>
      </c>
      <c r="J11" s="184">
        <v>0</v>
      </c>
      <c r="K11" s="184">
        <v>0</v>
      </c>
      <c r="L11" s="100"/>
    </row>
    <row r="12" spans="1:264" s="87" customFormat="1" ht="14.4" customHeight="1" x14ac:dyDescent="0.3">
      <c r="A12" s="125"/>
      <c r="B12" s="175" t="s">
        <v>353</v>
      </c>
      <c r="C12" s="85">
        <v>300</v>
      </c>
      <c r="D12" s="85">
        <v>308</v>
      </c>
      <c r="E12" s="85">
        <v>0</v>
      </c>
      <c r="F12" s="187"/>
      <c r="G12" s="187"/>
      <c r="H12" s="184">
        <v>0</v>
      </c>
      <c r="I12" s="184">
        <v>0</v>
      </c>
      <c r="J12" s="184">
        <v>0</v>
      </c>
      <c r="K12" s="184">
        <v>0</v>
      </c>
      <c r="L12" s="138"/>
    </row>
    <row r="13" spans="1:264" ht="14.4" customHeight="1" x14ac:dyDescent="0.3">
      <c r="B13" s="175" t="s">
        <v>404</v>
      </c>
      <c r="C13" s="85">
        <v>20877</v>
      </c>
      <c r="D13" s="85">
        <v>18328</v>
      </c>
      <c r="E13" s="85">
        <v>17798</v>
      </c>
      <c r="F13" s="187"/>
      <c r="G13" s="187"/>
      <c r="H13" s="184">
        <v>0</v>
      </c>
      <c r="I13" s="184">
        <v>0</v>
      </c>
      <c r="J13" s="184">
        <v>0</v>
      </c>
      <c r="K13" s="184">
        <v>0</v>
      </c>
      <c r="L13" s="100"/>
    </row>
    <row r="14" spans="1:264" ht="14.4" customHeight="1" x14ac:dyDescent="0.3">
      <c r="B14" s="175" t="s">
        <v>426</v>
      </c>
      <c r="C14" s="85">
        <v>-28163</v>
      </c>
      <c r="D14" s="85">
        <v>0</v>
      </c>
      <c r="E14" s="85">
        <v>0</v>
      </c>
      <c r="F14" s="187"/>
      <c r="G14" s="187"/>
      <c r="H14" s="184">
        <v>0</v>
      </c>
      <c r="I14" s="184">
        <v>0</v>
      </c>
      <c r="J14" s="184">
        <v>0</v>
      </c>
      <c r="K14" s="184">
        <v>0</v>
      </c>
      <c r="L14" s="100"/>
    </row>
    <row r="15" spans="1:264" s="89" customFormat="1" ht="14.4" customHeight="1" x14ac:dyDescent="0.3">
      <c r="A15" s="125"/>
      <c r="B15" s="175" t="s">
        <v>349</v>
      </c>
      <c r="C15" s="85">
        <v>9318</v>
      </c>
      <c r="D15" s="85">
        <v>6286</v>
      </c>
      <c r="E15" s="85">
        <v>0</v>
      </c>
      <c r="F15" s="187"/>
      <c r="G15" s="187"/>
      <c r="H15" s="184">
        <v>0</v>
      </c>
      <c r="I15" s="184">
        <v>0</v>
      </c>
      <c r="J15" s="184">
        <v>0</v>
      </c>
      <c r="K15" s="184">
        <v>0</v>
      </c>
      <c r="L15" s="138"/>
      <c r="M15" s="87"/>
      <c r="N15" s="87"/>
    </row>
    <row r="16" spans="1:264" s="86" customFormat="1" ht="14.4" customHeight="1" x14ac:dyDescent="0.3">
      <c r="A16" s="125"/>
      <c r="B16" s="175" t="s">
        <v>405</v>
      </c>
      <c r="C16" s="85">
        <v>9662</v>
      </c>
      <c r="D16" s="85">
        <v>-3372</v>
      </c>
      <c r="E16" s="85">
        <v>-277</v>
      </c>
      <c r="F16" s="187"/>
      <c r="G16" s="187"/>
      <c r="H16" s="184">
        <v>0</v>
      </c>
      <c r="I16" s="184">
        <v>0</v>
      </c>
      <c r="J16" s="184">
        <v>0</v>
      </c>
      <c r="K16" s="184">
        <v>0</v>
      </c>
      <c r="L16" s="138"/>
      <c r="M16" s="87"/>
      <c r="N16" s="87"/>
    </row>
    <row r="17" spans="1:14" s="89" customFormat="1" ht="14.4" customHeight="1" x14ac:dyDescent="0.3">
      <c r="A17" s="102"/>
      <c r="B17" s="175" t="s">
        <v>406</v>
      </c>
      <c r="C17" s="85">
        <v>170</v>
      </c>
      <c r="D17" s="85">
        <v>-190</v>
      </c>
      <c r="E17" s="85">
        <v>-199</v>
      </c>
      <c r="F17" s="187"/>
      <c r="G17" s="187"/>
      <c r="H17" s="184">
        <v>0</v>
      </c>
      <c r="I17" s="184">
        <v>0</v>
      </c>
      <c r="J17" s="184">
        <v>0</v>
      </c>
      <c r="K17" s="184">
        <v>0</v>
      </c>
      <c r="L17" s="100"/>
      <c r="M17" s="84"/>
      <c r="N17" s="84"/>
    </row>
    <row r="18" spans="1:14" s="89" customFormat="1" ht="14.4" customHeight="1" x14ac:dyDescent="0.3">
      <c r="A18" s="102"/>
      <c r="B18" s="175" t="s">
        <v>427</v>
      </c>
      <c r="C18" s="85">
        <v>0</v>
      </c>
      <c r="D18" s="85">
        <v>0</v>
      </c>
      <c r="E18" s="85">
        <v>-9416</v>
      </c>
      <c r="F18" s="187"/>
      <c r="G18" s="187"/>
      <c r="H18" s="184">
        <v>0</v>
      </c>
      <c r="I18" s="184">
        <v>0</v>
      </c>
      <c r="J18" s="184">
        <v>0</v>
      </c>
      <c r="K18" s="184">
        <v>0</v>
      </c>
      <c r="L18" s="100"/>
      <c r="M18" s="84"/>
      <c r="N18" s="84"/>
    </row>
    <row r="19" spans="1:14" ht="14.4" customHeight="1" x14ac:dyDescent="0.3">
      <c r="A19" s="125"/>
      <c r="B19" s="175" t="s">
        <v>407</v>
      </c>
      <c r="C19" s="85">
        <v>-200</v>
      </c>
      <c r="D19" s="85">
        <v>-898</v>
      </c>
      <c r="E19" s="85">
        <v>-219</v>
      </c>
      <c r="F19" s="187"/>
      <c r="G19" s="187"/>
      <c r="H19" s="184">
        <v>0</v>
      </c>
      <c r="I19" s="184">
        <v>0</v>
      </c>
      <c r="J19" s="184">
        <v>0</v>
      </c>
      <c r="K19" s="184">
        <v>0</v>
      </c>
      <c r="L19" s="138"/>
      <c r="M19" s="87"/>
    </row>
    <row r="20" spans="1:14" s="87" customFormat="1" ht="14.4" customHeight="1" x14ac:dyDescent="0.3">
      <c r="A20" s="125"/>
      <c r="B20" s="175" t="s">
        <v>408</v>
      </c>
      <c r="C20" s="85">
        <v>-60</v>
      </c>
      <c r="D20" s="85">
        <v>4</v>
      </c>
      <c r="E20" s="85">
        <v>907</v>
      </c>
      <c r="F20" s="187"/>
      <c r="G20" s="187"/>
      <c r="H20" s="184">
        <v>0</v>
      </c>
      <c r="I20" s="184">
        <v>0</v>
      </c>
      <c r="J20" s="184">
        <v>0</v>
      </c>
      <c r="K20" s="184">
        <v>0</v>
      </c>
      <c r="L20" s="138"/>
    </row>
    <row r="21" spans="1:14" ht="14.4" customHeight="1" x14ac:dyDescent="0.3">
      <c r="B21" s="116" t="s">
        <v>409</v>
      </c>
      <c r="C21" s="85"/>
      <c r="D21" s="85"/>
      <c r="E21" s="85"/>
      <c r="F21" s="187"/>
      <c r="G21" s="187"/>
      <c r="H21" s="85"/>
      <c r="I21" s="85"/>
      <c r="J21" s="85"/>
      <c r="K21" s="85"/>
      <c r="L21" s="100"/>
    </row>
    <row r="22" spans="1:14" ht="14.4" customHeight="1" x14ac:dyDescent="0.3">
      <c r="A22" s="125"/>
      <c r="B22" s="87" t="s">
        <v>410</v>
      </c>
      <c r="C22" s="85"/>
      <c r="D22" s="85"/>
      <c r="E22" s="85"/>
      <c r="F22" s="187"/>
      <c r="G22" s="187"/>
      <c r="H22" s="85"/>
      <c r="I22" s="85"/>
      <c r="J22" s="85"/>
      <c r="K22" s="85"/>
      <c r="L22" s="138"/>
      <c r="M22" s="87"/>
      <c r="N22" s="87"/>
    </row>
    <row r="23" spans="1:14" ht="14.4" customHeight="1" x14ac:dyDescent="0.3">
      <c r="B23" s="175" t="s">
        <v>411</v>
      </c>
      <c r="C23" s="85">
        <v>14396</v>
      </c>
      <c r="D23" s="85">
        <v>33600</v>
      </c>
      <c r="E23" s="85">
        <v>-4284</v>
      </c>
      <c r="F23" s="187"/>
      <c r="G23" s="187"/>
      <c r="H23" s="184">
        <v>0</v>
      </c>
      <c r="I23" s="184">
        <v>0</v>
      </c>
      <c r="J23" s="184">
        <v>0</v>
      </c>
      <c r="K23" s="184">
        <v>0</v>
      </c>
      <c r="L23" s="100"/>
    </row>
    <row r="24" spans="1:14" ht="14.4" customHeight="1" x14ac:dyDescent="0.3">
      <c r="B24" s="175" t="s">
        <v>133</v>
      </c>
      <c r="C24" s="85">
        <v>-5851</v>
      </c>
      <c r="D24" s="85">
        <v>1925</v>
      </c>
      <c r="E24" s="85">
        <v>25639</v>
      </c>
      <c r="F24" s="187"/>
      <c r="G24" s="187"/>
      <c r="H24" s="184">
        <v>0</v>
      </c>
      <c r="I24" s="184">
        <v>0</v>
      </c>
      <c r="J24" s="184">
        <v>0</v>
      </c>
      <c r="K24" s="184">
        <v>0</v>
      </c>
      <c r="L24" s="100"/>
    </row>
    <row r="25" spans="1:14" ht="14.4" customHeight="1" x14ac:dyDescent="0.3">
      <c r="B25" s="175" t="s">
        <v>371</v>
      </c>
      <c r="C25" s="85">
        <v>-6829</v>
      </c>
      <c r="D25" s="85">
        <v>-11187</v>
      </c>
      <c r="E25" s="85">
        <v>4101</v>
      </c>
      <c r="F25" s="187"/>
      <c r="G25" s="187"/>
      <c r="H25" s="184">
        <v>0</v>
      </c>
      <c r="I25" s="184">
        <v>0</v>
      </c>
      <c r="J25" s="184">
        <v>0</v>
      </c>
      <c r="K25" s="184">
        <v>0</v>
      </c>
      <c r="L25" s="100"/>
    </row>
    <row r="26" spans="1:14" ht="14.4" customHeight="1" x14ac:dyDescent="0.3">
      <c r="B26" s="175" t="s">
        <v>412</v>
      </c>
      <c r="C26" s="85">
        <v>6625</v>
      </c>
      <c r="D26" s="85">
        <v>1066</v>
      </c>
      <c r="E26" s="85">
        <v>189</v>
      </c>
      <c r="F26" s="187"/>
      <c r="G26" s="187"/>
      <c r="H26" s="184">
        <v>0</v>
      </c>
      <c r="I26" s="184">
        <v>0</v>
      </c>
      <c r="J26" s="184">
        <v>0</v>
      </c>
      <c r="K26" s="184">
        <v>0</v>
      </c>
      <c r="L26" s="100"/>
    </row>
    <row r="27" spans="1:14" ht="14.4" customHeight="1" x14ac:dyDescent="0.3">
      <c r="B27" s="175" t="s">
        <v>422</v>
      </c>
      <c r="C27" s="85">
        <v>0</v>
      </c>
      <c r="D27" s="85">
        <v>-67</v>
      </c>
      <c r="E27" s="85">
        <v>67</v>
      </c>
      <c r="F27" s="187"/>
      <c r="G27" s="187"/>
      <c r="H27" s="184">
        <v>0</v>
      </c>
      <c r="I27" s="184">
        <v>0</v>
      </c>
      <c r="J27" s="184">
        <v>0</v>
      </c>
      <c r="K27" s="184">
        <v>0</v>
      </c>
      <c r="L27" s="100"/>
    </row>
    <row r="28" spans="1:14" ht="14.4" customHeight="1" x14ac:dyDescent="0.3">
      <c r="B28" s="175" t="s">
        <v>370</v>
      </c>
      <c r="C28" s="85">
        <v>286</v>
      </c>
      <c r="D28" s="85">
        <v>1</v>
      </c>
      <c r="E28" s="85">
        <v>-42</v>
      </c>
      <c r="F28" s="187"/>
      <c r="G28" s="187"/>
      <c r="H28" s="184">
        <v>0</v>
      </c>
      <c r="I28" s="184">
        <v>0</v>
      </c>
      <c r="J28" s="184">
        <v>0</v>
      </c>
      <c r="K28" s="184">
        <v>0</v>
      </c>
      <c r="L28" s="100"/>
    </row>
    <row r="29" spans="1:14" ht="14.4" customHeight="1" x14ac:dyDescent="0.3">
      <c r="A29" s="125"/>
      <c r="B29" s="175" t="s">
        <v>369</v>
      </c>
      <c r="C29" s="85">
        <v>61</v>
      </c>
      <c r="D29" s="85">
        <v>-22</v>
      </c>
      <c r="E29" s="85">
        <v>-7</v>
      </c>
      <c r="F29" s="187"/>
      <c r="G29" s="187"/>
      <c r="H29" s="184">
        <v>0</v>
      </c>
      <c r="I29" s="184">
        <v>0</v>
      </c>
      <c r="J29" s="184">
        <v>0</v>
      </c>
      <c r="K29" s="184">
        <v>0</v>
      </c>
      <c r="L29" s="138"/>
      <c r="M29" s="87"/>
      <c r="N29" s="87"/>
    </row>
    <row r="30" spans="1:14" ht="14.4" customHeight="1" x14ac:dyDescent="0.3">
      <c r="B30" s="175" t="s">
        <v>374</v>
      </c>
      <c r="C30" s="85">
        <v>0</v>
      </c>
      <c r="D30" s="85">
        <v>0</v>
      </c>
      <c r="E30" s="85">
        <v>0</v>
      </c>
      <c r="F30" s="187"/>
      <c r="G30" s="187"/>
      <c r="H30" s="184">
        <v>0</v>
      </c>
      <c r="I30" s="184">
        <v>0</v>
      </c>
      <c r="J30" s="184">
        <v>0</v>
      </c>
      <c r="K30" s="184">
        <v>0</v>
      </c>
      <c r="L30" s="100"/>
    </row>
    <row r="31" spans="1:14" ht="14.4" customHeight="1" x14ac:dyDescent="0.3">
      <c r="B31" s="175" t="s">
        <v>384</v>
      </c>
      <c r="C31" s="85">
        <v>0</v>
      </c>
      <c r="D31" s="85">
        <v>0</v>
      </c>
      <c r="E31" s="85">
        <v>37</v>
      </c>
      <c r="F31" s="187"/>
      <c r="G31" s="187"/>
      <c r="H31" s="184">
        <v>0</v>
      </c>
      <c r="I31" s="184">
        <v>0</v>
      </c>
      <c r="J31" s="184">
        <v>0</v>
      </c>
      <c r="K31" s="184">
        <v>0</v>
      </c>
      <c r="L31" s="100"/>
    </row>
    <row r="32" spans="1:14" ht="14.4" customHeight="1" x14ac:dyDescent="0.3">
      <c r="B32" s="179" t="s">
        <v>428</v>
      </c>
      <c r="C32" s="85"/>
      <c r="D32" s="85"/>
      <c r="E32" s="85"/>
      <c r="F32" s="187"/>
      <c r="G32" s="187"/>
      <c r="H32" s="144"/>
      <c r="I32" s="144"/>
      <c r="J32" s="144"/>
      <c r="K32" s="144"/>
      <c r="L32" s="100"/>
    </row>
    <row r="33" spans="1:14" ht="14.4" customHeight="1" x14ac:dyDescent="0.3">
      <c r="A33" s="125"/>
      <c r="B33" s="175" t="s">
        <v>413</v>
      </c>
      <c r="C33" s="85">
        <v>7306</v>
      </c>
      <c r="D33" s="85">
        <v>-6617</v>
      </c>
      <c r="E33" s="85">
        <v>6693</v>
      </c>
      <c r="F33" s="187"/>
      <c r="G33" s="187"/>
      <c r="H33" s="184">
        <v>0</v>
      </c>
      <c r="I33" s="184">
        <v>0</v>
      </c>
      <c r="J33" s="184">
        <v>0</v>
      </c>
      <c r="K33" s="184">
        <v>0</v>
      </c>
      <c r="L33" s="138"/>
      <c r="M33" s="87"/>
      <c r="N33" s="87"/>
    </row>
    <row r="34" spans="1:14" ht="14.4" customHeight="1" x14ac:dyDescent="0.3">
      <c r="A34" s="125"/>
      <c r="B34" s="175" t="s">
        <v>414</v>
      </c>
      <c r="C34" s="85">
        <v>-9792</v>
      </c>
      <c r="D34" s="85">
        <v>-18387</v>
      </c>
      <c r="E34" s="85">
        <v>-28377</v>
      </c>
      <c r="F34" s="187"/>
      <c r="G34" s="187"/>
      <c r="H34" s="184">
        <v>0</v>
      </c>
      <c r="I34" s="184">
        <v>0</v>
      </c>
      <c r="J34" s="184">
        <v>0</v>
      </c>
      <c r="K34" s="184">
        <v>0</v>
      </c>
      <c r="L34" s="138"/>
      <c r="M34" s="87"/>
      <c r="N34" s="87"/>
    </row>
    <row r="35" spans="1:14" ht="14.4" customHeight="1" x14ac:dyDescent="0.3">
      <c r="B35" s="175" t="s">
        <v>391</v>
      </c>
      <c r="C35" s="85">
        <v>158</v>
      </c>
      <c r="D35" s="85">
        <v>1615</v>
      </c>
      <c r="E35" s="85">
        <v>283</v>
      </c>
      <c r="F35" s="187"/>
      <c r="G35" s="187"/>
      <c r="H35" s="184">
        <v>0</v>
      </c>
      <c r="I35" s="184">
        <v>0</v>
      </c>
      <c r="J35" s="184">
        <v>0</v>
      </c>
      <c r="K35" s="184">
        <v>0</v>
      </c>
      <c r="L35" s="100"/>
    </row>
    <row r="36" spans="1:14" ht="14.4" customHeight="1" x14ac:dyDescent="0.3">
      <c r="B36" s="175" t="s">
        <v>392</v>
      </c>
      <c r="C36" s="85">
        <v>-2610</v>
      </c>
      <c r="D36" s="85">
        <v>-3471</v>
      </c>
      <c r="E36" s="85">
        <v>-23947</v>
      </c>
      <c r="F36" s="187"/>
      <c r="G36" s="187"/>
      <c r="H36" s="184">
        <v>0</v>
      </c>
      <c r="I36" s="184">
        <v>0</v>
      </c>
      <c r="J36" s="184">
        <v>0</v>
      </c>
      <c r="K36" s="184">
        <v>0</v>
      </c>
      <c r="L36" s="100"/>
    </row>
    <row r="37" spans="1:14" ht="14.4" customHeight="1" x14ac:dyDescent="0.3">
      <c r="A37" s="125"/>
      <c r="B37" s="175" t="s">
        <v>390</v>
      </c>
      <c r="C37" s="85">
        <v>1042</v>
      </c>
      <c r="D37" s="85">
        <v>3552</v>
      </c>
      <c r="E37" s="85">
        <v>1213</v>
      </c>
      <c r="F37" s="187"/>
      <c r="G37" s="187"/>
      <c r="H37" s="184">
        <v>0</v>
      </c>
      <c r="I37" s="184">
        <v>0</v>
      </c>
      <c r="J37" s="184">
        <v>0</v>
      </c>
      <c r="K37" s="184">
        <v>0</v>
      </c>
      <c r="L37" s="138"/>
      <c r="M37" s="87"/>
    </row>
    <row r="38" spans="1:14" ht="14.4" customHeight="1" x14ac:dyDescent="0.3">
      <c r="A38" s="125"/>
      <c r="B38" s="175" t="s">
        <v>394</v>
      </c>
      <c r="C38" s="85">
        <v>54</v>
      </c>
      <c r="D38" s="85">
        <v>-3654</v>
      </c>
      <c r="E38" s="85">
        <v>3064</v>
      </c>
      <c r="F38" s="187"/>
      <c r="G38" s="187"/>
      <c r="H38" s="184">
        <v>0</v>
      </c>
      <c r="I38" s="184">
        <v>0</v>
      </c>
      <c r="J38" s="184">
        <v>0</v>
      </c>
      <c r="K38" s="184">
        <v>0</v>
      </c>
      <c r="L38" s="138"/>
      <c r="M38" s="87"/>
      <c r="N38" s="87"/>
    </row>
    <row r="39" spans="1:14" ht="14.4" customHeight="1" x14ac:dyDescent="0.3">
      <c r="B39" s="175" t="s">
        <v>395</v>
      </c>
      <c r="C39" s="85">
        <v>0</v>
      </c>
      <c r="D39" s="85">
        <v>2000</v>
      </c>
      <c r="E39" s="85">
        <v>0</v>
      </c>
      <c r="F39" s="187"/>
      <c r="G39" s="187"/>
      <c r="H39" s="184">
        <v>0</v>
      </c>
      <c r="I39" s="184">
        <v>0</v>
      </c>
      <c r="J39" s="184">
        <v>0</v>
      </c>
      <c r="K39" s="184">
        <v>0</v>
      </c>
      <c r="L39" s="100"/>
    </row>
    <row r="40" spans="1:14" ht="14.4" customHeight="1" x14ac:dyDescent="0.3">
      <c r="A40" s="102" t="s">
        <v>109</v>
      </c>
      <c r="B40" s="130" t="s">
        <v>120</v>
      </c>
      <c r="C40" s="131">
        <f>SUM(C4:C39)</f>
        <v>335777</v>
      </c>
      <c r="D40" s="131">
        <f>SUM(D4:D39)</f>
        <v>471154</v>
      </c>
      <c r="E40" s="131">
        <f>SUM(E4:E39)</f>
        <v>295936</v>
      </c>
      <c r="F40" s="131">
        <v>112386</v>
      </c>
      <c r="G40" s="131">
        <f>262275-F40</f>
        <v>149889</v>
      </c>
      <c r="H40" s="131">
        <f>SUM(H4:H39)</f>
        <v>192252.97839999996</v>
      </c>
      <c r="I40" s="131">
        <f>SUM(I4:I39)</f>
        <v>191495.53554949991</v>
      </c>
      <c r="J40" s="131">
        <f>SUM(J4:J39)</f>
        <v>219475.33286240016</v>
      </c>
      <c r="K40" s="131">
        <f>SUM(K4:K39)</f>
        <v>225877.7395196475</v>
      </c>
      <c r="L40" s="100"/>
    </row>
    <row r="41" spans="1:14" ht="14.4" customHeight="1" x14ac:dyDescent="0.3">
      <c r="A41" s="117"/>
      <c r="B41" s="90"/>
      <c r="C41" s="57"/>
      <c r="D41" s="57"/>
      <c r="E41" s="57"/>
      <c r="F41" s="57"/>
      <c r="G41" s="57"/>
      <c r="H41" s="57"/>
      <c r="I41" s="57"/>
      <c r="J41" s="57"/>
      <c r="K41" s="57"/>
      <c r="L41" s="118"/>
      <c r="M41" s="89"/>
    </row>
    <row r="42" spans="1:14" ht="14.4" customHeight="1" x14ac:dyDescent="0.3">
      <c r="A42" s="117"/>
      <c r="B42" s="90"/>
      <c r="C42" s="57"/>
      <c r="D42" s="57"/>
      <c r="E42" s="57"/>
      <c r="F42" s="57"/>
      <c r="G42" s="57"/>
      <c r="H42" s="57"/>
      <c r="I42" s="57"/>
      <c r="J42" s="57"/>
      <c r="K42" s="57"/>
      <c r="L42" s="118"/>
      <c r="M42" s="89"/>
    </row>
    <row r="43" spans="1:14" ht="14.4" customHeight="1" x14ac:dyDescent="0.3">
      <c r="A43" s="117"/>
      <c r="B43" s="90" t="s">
        <v>121</v>
      </c>
      <c r="C43" s="57"/>
      <c r="D43" s="57"/>
      <c r="E43" s="57"/>
      <c r="F43" s="57"/>
      <c r="G43" s="57"/>
      <c r="H43" s="57"/>
      <c r="I43" s="57"/>
      <c r="J43" s="57"/>
      <c r="K43" s="57"/>
      <c r="L43" s="118"/>
      <c r="M43" s="89"/>
    </row>
    <row r="44" spans="1:14" s="87" customFormat="1" ht="14.4" customHeight="1" x14ac:dyDescent="0.3">
      <c r="A44" s="204"/>
      <c r="B44" s="203" t="s">
        <v>466</v>
      </c>
      <c r="C44" s="85">
        <v>0</v>
      </c>
      <c r="D44" s="85">
        <v>0</v>
      </c>
      <c r="E44" s="85">
        <v>0</v>
      </c>
      <c r="F44" s="85">
        <v>0</v>
      </c>
      <c r="G44" s="85">
        <v>-1805</v>
      </c>
      <c r="H44" s="85"/>
      <c r="I44" s="85"/>
      <c r="J44" s="85"/>
      <c r="K44" s="85"/>
      <c r="L44" s="202"/>
      <c r="M44" s="86"/>
    </row>
    <row r="45" spans="1:14" ht="14.4" customHeight="1" x14ac:dyDescent="0.3">
      <c r="B45" s="84" t="s">
        <v>429</v>
      </c>
      <c r="C45" s="92">
        <v>-18091</v>
      </c>
      <c r="D45" s="92">
        <v>-55095</v>
      </c>
      <c r="E45" s="92">
        <v>-83988</v>
      </c>
      <c r="F45" s="92">
        <f>-430-19530</f>
        <v>-19960</v>
      </c>
      <c r="G45" s="85">
        <f>-97467-F45</f>
        <v>-77507</v>
      </c>
      <c r="H45" s="85">
        <f>-Balance!H75</f>
        <v>-61200</v>
      </c>
      <c r="I45" s="85">
        <f>-Balance!I75</f>
        <v>-69300</v>
      </c>
      <c r="J45" s="85">
        <f>-Balance!J75</f>
        <v>-5000</v>
      </c>
      <c r="K45" s="85">
        <f>-Balance!K75</f>
        <v>-5000</v>
      </c>
      <c r="L45" s="100"/>
    </row>
    <row r="46" spans="1:14" ht="14.4" customHeight="1" x14ac:dyDescent="0.3">
      <c r="B46" s="84" t="s">
        <v>431</v>
      </c>
      <c r="C46" s="92">
        <v>195968</v>
      </c>
      <c r="D46" s="92">
        <v>303232</v>
      </c>
      <c r="E46" s="92">
        <v>174396</v>
      </c>
      <c r="F46" s="92">
        <v>19792</v>
      </c>
      <c r="G46" s="85">
        <f>80137-F46</f>
        <v>60345</v>
      </c>
      <c r="H46" s="184">
        <v>31500</v>
      </c>
      <c r="I46" s="184">
        <v>0</v>
      </c>
      <c r="J46" s="184">
        <v>0</v>
      </c>
      <c r="K46" s="184">
        <v>0</v>
      </c>
      <c r="L46" s="100"/>
    </row>
    <row r="47" spans="1:14" ht="14.4" customHeight="1" x14ac:dyDescent="0.3">
      <c r="B47" s="84" t="s">
        <v>430</v>
      </c>
      <c r="C47" s="92">
        <v>55000</v>
      </c>
      <c r="D47" s="92">
        <v>0</v>
      </c>
      <c r="E47" s="92">
        <v>0</v>
      </c>
      <c r="F47" s="92">
        <v>0</v>
      </c>
      <c r="G47" s="85">
        <v>0</v>
      </c>
      <c r="H47" s="184">
        <v>0</v>
      </c>
      <c r="I47" s="184">
        <v>0</v>
      </c>
      <c r="J47" s="184">
        <v>0</v>
      </c>
      <c r="K47" s="184">
        <v>0</v>
      </c>
      <c r="L47" s="100"/>
    </row>
    <row r="48" spans="1:14" ht="14.4" customHeight="1" x14ac:dyDescent="0.3">
      <c r="B48" s="84" t="s">
        <v>435</v>
      </c>
      <c r="C48" s="92">
        <v>0</v>
      </c>
      <c r="D48" s="92">
        <v>0</v>
      </c>
      <c r="E48" s="92">
        <v>0</v>
      </c>
      <c r="F48" s="92">
        <v>600</v>
      </c>
      <c r="G48" s="85">
        <v>0</v>
      </c>
      <c r="H48" s="184">
        <v>0</v>
      </c>
      <c r="I48" s="184">
        <v>0</v>
      </c>
      <c r="J48" s="184">
        <v>0</v>
      </c>
      <c r="K48" s="184">
        <v>0</v>
      </c>
      <c r="L48" s="100"/>
    </row>
    <row r="49" spans="1:12" ht="14.4" customHeight="1" x14ac:dyDescent="0.3">
      <c r="B49" s="84" t="s">
        <v>415</v>
      </c>
      <c r="C49" s="92">
        <v>0</v>
      </c>
      <c r="D49" s="92">
        <v>0</v>
      </c>
      <c r="E49" s="92">
        <v>-1409</v>
      </c>
      <c r="F49" s="92">
        <v>0</v>
      </c>
      <c r="G49" s="85">
        <v>0</v>
      </c>
      <c r="H49" s="184">
        <v>0</v>
      </c>
      <c r="I49" s="184">
        <v>0</v>
      </c>
      <c r="J49" s="184">
        <v>0</v>
      </c>
      <c r="K49" s="184">
        <v>0</v>
      </c>
      <c r="L49" s="100"/>
    </row>
    <row r="50" spans="1:12" ht="14.4" customHeight="1" x14ac:dyDescent="0.3">
      <c r="B50" s="84" t="s">
        <v>432</v>
      </c>
      <c r="C50" s="92">
        <v>0</v>
      </c>
      <c r="D50" s="92">
        <v>104325</v>
      </c>
      <c r="E50" s="92">
        <v>0</v>
      </c>
      <c r="F50" s="92">
        <v>0</v>
      </c>
      <c r="G50" s="85">
        <v>0</v>
      </c>
      <c r="H50" s="184">
        <v>0</v>
      </c>
      <c r="I50" s="184">
        <v>0</v>
      </c>
      <c r="J50" s="184">
        <v>0</v>
      </c>
      <c r="K50" s="184">
        <v>0</v>
      </c>
      <c r="L50" s="100"/>
    </row>
    <row r="51" spans="1:12" ht="14.4" customHeight="1" x14ac:dyDescent="0.3">
      <c r="B51" s="84" t="s">
        <v>416</v>
      </c>
      <c r="C51" s="92">
        <v>2641</v>
      </c>
      <c r="D51" s="92">
        <v>3716</v>
      </c>
      <c r="E51" s="92">
        <v>12156</v>
      </c>
      <c r="F51" s="92">
        <v>705</v>
      </c>
      <c r="G51" s="85">
        <f>1218-F51</f>
        <v>513</v>
      </c>
      <c r="H51" s="184">
        <v>0</v>
      </c>
      <c r="I51" s="184">
        <v>0</v>
      </c>
      <c r="J51" s="184">
        <v>0</v>
      </c>
      <c r="K51" s="184">
        <v>0</v>
      </c>
      <c r="L51" s="100"/>
    </row>
    <row r="52" spans="1:12" ht="14.4" customHeight="1" x14ac:dyDescent="0.3">
      <c r="A52" s="102" t="s">
        <v>109</v>
      </c>
      <c r="B52" s="131" t="s">
        <v>122</v>
      </c>
      <c r="C52" s="131">
        <f t="shared" ref="C52:E52" si="0">SUM(C45:C51)</f>
        <v>235518</v>
      </c>
      <c r="D52" s="131">
        <f t="shared" si="0"/>
        <v>356178</v>
      </c>
      <c r="E52" s="131">
        <f t="shared" si="0"/>
        <v>101155</v>
      </c>
      <c r="F52" s="131">
        <f t="shared" ref="F52:K52" si="1">SUM(F44:F51)</f>
        <v>1137</v>
      </c>
      <c r="G52" s="131">
        <f t="shared" si="1"/>
        <v>-18454</v>
      </c>
      <c r="H52" s="131">
        <f t="shared" si="1"/>
        <v>-29700</v>
      </c>
      <c r="I52" s="131">
        <f t="shared" si="1"/>
        <v>-69300</v>
      </c>
      <c r="J52" s="131">
        <f t="shared" si="1"/>
        <v>-5000</v>
      </c>
      <c r="K52" s="131">
        <f t="shared" si="1"/>
        <v>-5000</v>
      </c>
      <c r="L52" s="100"/>
    </row>
    <row r="53" spans="1:12" ht="14.4" customHeight="1" x14ac:dyDescent="0.3">
      <c r="L53" s="100"/>
    </row>
    <row r="54" spans="1:12" ht="14.4" customHeight="1" x14ac:dyDescent="0.3">
      <c r="L54" s="100"/>
    </row>
    <row r="55" spans="1:12" ht="14.4" customHeight="1" x14ac:dyDescent="0.3">
      <c r="B55" s="93" t="s">
        <v>123</v>
      </c>
      <c r="C55" s="89"/>
      <c r="D55" s="89"/>
      <c r="E55" s="89"/>
      <c r="F55" s="89"/>
      <c r="G55" s="146"/>
      <c r="H55" s="146"/>
      <c r="I55" s="146"/>
      <c r="J55" s="146"/>
      <c r="K55" s="146"/>
      <c r="L55" s="100"/>
    </row>
    <row r="56" spans="1:12" ht="14.4" customHeight="1" x14ac:dyDescent="0.3">
      <c r="B56" s="84" t="s">
        <v>436</v>
      </c>
      <c r="C56" s="147">
        <v>441405</v>
      </c>
      <c r="D56" s="92">
        <v>388120</v>
      </c>
      <c r="E56" s="92">
        <v>378000</v>
      </c>
      <c r="F56" s="92">
        <v>80000</v>
      </c>
      <c r="G56" s="184">
        <f>272000-F56</f>
        <v>192000</v>
      </c>
      <c r="H56" s="184">
        <v>0</v>
      </c>
      <c r="I56" s="184">
        <v>0</v>
      </c>
      <c r="J56" s="184">
        <v>0</v>
      </c>
      <c r="K56" s="184">
        <v>0</v>
      </c>
      <c r="L56" s="100"/>
    </row>
    <row r="57" spans="1:12" ht="14.4" customHeight="1" x14ac:dyDescent="0.3">
      <c r="B57" s="84" t="s">
        <v>437</v>
      </c>
      <c r="C57" s="147"/>
      <c r="D57" s="92"/>
      <c r="E57" s="92"/>
      <c r="F57" s="92">
        <v>-49267</v>
      </c>
      <c r="G57" s="92">
        <f>-92473-F57</f>
        <v>-43206</v>
      </c>
      <c r="H57" s="92">
        <f>Balance!H62-Balance!G62</f>
        <v>-7195.25</v>
      </c>
      <c r="I57" s="92">
        <f>Balance!I62-Balance!H62</f>
        <v>19604.75</v>
      </c>
      <c r="J57" s="92">
        <f>Balance!J62-Balance!I62</f>
        <v>-58395.25</v>
      </c>
      <c r="K57" s="92">
        <f>Balance!K62-Balance!J62</f>
        <v>-58395.25</v>
      </c>
      <c r="L57" s="100"/>
    </row>
    <row r="58" spans="1:12" ht="14.4" customHeight="1" x14ac:dyDescent="0.3">
      <c r="B58" s="84" t="s">
        <v>438</v>
      </c>
      <c r="C58" s="147">
        <v>-492570</v>
      </c>
      <c r="D58" s="92">
        <v>-730134</v>
      </c>
      <c r="E58" s="92">
        <v>-579630</v>
      </c>
      <c r="F58" s="92">
        <v>-157062</v>
      </c>
      <c r="G58" s="184">
        <f>-215798-F58</f>
        <v>-58736</v>
      </c>
      <c r="H58" s="184">
        <v>0</v>
      </c>
      <c r="I58" s="184">
        <v>0</v>
      </c>
      <c r="J58" s="184">
        <v>0</v>
      </c>
      <c r="K58" s="184">
        <v>0</v>
      </c>
      <c r="L58" s="100"/>
    </row>
    <row r="59" spans="1:12" ht="14.4" customHeight="1" x14ac:dyDescent="0.3">
      <c r="B59" s="84" t="s">
        <v>417</v>
      </c>
      <c r="C59" s="147">
        <v>-6588</v>
      </c>
      <c r="D59" s="92">
        <v>-3779</v>
      </c>
      <c r="E59" s="92">
        <v>-1901</v>
      </c>
      <c r="F59" s="92">
        <v>-435</v>
      </c>
      <c r="G59" s="184">
        <f>-1433-F59</f>
        <v>-998</v>
      </c>
      <c r="H59" s="184">
        <v>0</v>
      </c>
      <c r="I59" s="184">
        <v>0</v>
      </c>
      <c r="J59" s="184">
        <v>0</v>
      </c>
      <c r="K59" s="184">
        <v>0</v>
      </c>
      <c r="L59" s="100"/>
    </row>
    <row r="60" spans="1:12" ht="14.4" customHeight="1" x14ac:dyDescent="0.3">
      <c r="B60" s="84" t="s">
        <v>144</v>
      </c>
      <c r="C60" s="89">
        <v>-158052</v>
      </c>
      <c r="D60" s="89">
        <v>-277008</v>
      </c>
      <c r="E60" s="89">
        <v>-34375</v>
      </c>
      <c r="F60" s="89">
        <v>-41374</v>
      </c>
      <c r="G60" s="184">
        <f>-97580-F60</f>
        <v>-56206</v>
      </c>
      <c r="H60" s="184">
        <f>-0.9*('P&amp;L'!H40/1000)</f>
        <v>-100156.9896</v>
      </c>
      <c r="I60" s="184">
        <f>-(H40+H45-(233581/4))</f>
        <v>-72657.728399999964</v>
      </c>
      <c r="J60" s="184">
        <f>-(I40+I45-(233581/4))</f>
        <v>-63800.285549499909</v>
      </c>
      <c r="K60" s="184">
        <f>-(J40+J45-(233581/4))</f>
        <v>-156080.08286240016</v>
      </c>
      <c r="L60" s="100"/>
    </row>
    <row r="61" spans="1:12" ht="14.4" customHeight="1" x14ac:dyDescent="0.3">
      <c r="B61" s="84" t="s">
        <v>418</v>
      </c>
      <c r="C61" s="147">
        <v>13165</v>
      </c>
      <c r="D61" s="92">
        <v>0</v>
      </c>
      <c r="E61" s="92">
        <v>0</v>
      </c>
      <c r="F61" s="92">
        <v>0</v>
      </c>
      <c r="G61" s="184">
        <v>0</v>
      </c>
      <c r="H61" s="184">
        <v>0</v>
      </c>
      <c r="I61" s="184">
        <v>0</v>
      </c>
      <c r="J61" s="184">
        <v>0</v>
      </c>
      <c r="K61" s="184">
        <v>0</v>
      </c>
      <c r="L61" s="100"/>
    </row>
    <row r="62" spans="1:12" ht="14.4" customHeight="1" x14ac:dyDescent="0.3">
      <c r="B62" s="84" t="s">
        <v>419</v>
      </c>
      <c r="C62" s="147">
        <v>-141</v>
      </c>
      <c r="D62" s="92">
        <v>-96</v>
      </c>
      <c r="E62" s="92">
        <v>0</v>
      </c>
      <c r="F62" s="92">
        <v>0</v>
      </c>
      <c r="G62" s="184">
        <v>0</v>
      </c>
      <c r="H62" s="184">
        <v>0</v>
      </c>
      <c r="I62" s="184">
        <v>0</v>
      </c>
      <c r="J62" s="184">
        <v>0</v>
      </c>
      <c r="K62" s="184">
        <v>0</v>
      </c>
      <c r="L62" s="100"/>
    </row>
    <row r="63" spans="1:12" ht="14.4" customHeight="1" x14ac:dyDescent="0.3">
      <c r="B63" s="84" t="s">
        <v>420</v>
      </c>
      <c r="C63" s="147">
        <v>-393108</v>
      </c>
      <c r="D63" s="92">
        <v>-25305</v>
      </c>
      <c r="E63" s="92">
        <v>-98131</v>
      </c>
      <c r="F63" s="92">
        <v>-37887</v>
      </c>
      <c r="G63" s="184">
        <f>-46326-F63</f>
        <v>-8439</v>
      </c>
      <c r="H63" s="184">
        <v>0</v>
      </c>
      <c r="I63" s="184">
        <v>0</v>
      </c>
      <c r="J63" s="184">
        <v>0</v>
      </c>
      <c r="K63" s="184">
        <v>0</v>
      </c>
      <c r="L63" s="100"/>
    </row>
    <row r="64" spans="1:12" ht="14.4" customHeight="1" x14ac:dyDescent="0.3">
      <c r="A64" s="102" t="s">
        <v>109</v>
      </c>
      <c r="B64" s="131" t="s">
        <v>124</v>
      </c>
      <c r="C64" s="131">
        <f t="shared" ref="C64:J64" si="2">SUM(C56:C63)</f>
        <v>-595889</v>
      </c>
      <c r="D64" s="131">
        <f t="shared" si="2"/>
        <v>-648202</v>
      </c>
      <c r="E64" s="131">
        <f t="shared" si="2"/>
        <v>-336037</v>
      </c>
      <c r="F64" s="131">
        <f t="shared" si="2"/>
        <v>-206025</v>
      </c>
      <c r="G64" s="131">
        <f t="shared" si="2"/>
        <v>24415</v>
      </c>
      <c r="H64" s="131">
        <f t="shared" si="2"/>
        <v>-107352.2396</v>
      </c>
      <c r="I64" s="131">
        <f t="shared" si="2"/>
        <v>-53052.978399999964</v>
      </c>
      <c r="J64" s="131">
        <f t="shared" si="2"/>
        <v>-122195.53554949991</v>
      </c>
      <c r="K64" s="131">
        <f t="shared" ref="K64" si="3">SUM(K56:K63)</f>
        <v>-214475.33286240016</v>
      </c>
      <c r="L64" s="100"/>
    </row>
    <row r="65" spans="2:12" ht="14.4" customHeight="1" x14ac:dyDescent="0.3">
      <c r="L65" s="100"/>
    </row>
    <row r="66" spans="2:12" ht="14.4" customHeight="1" x14ac:dyDescent="0.3">
      <c r="L66" s="100"/>
    </row>
    <row r="67" spans="2:12" ht="14.4" customHeight="1" x14ac:dyDescent="0.3">
      <c r="B67" s="1" t="s">
        <v>129</v>
      </c>
      <c r="C67" s="116">
        <f t="shared" ref="C67:J67" si="4">C40+C52+C64</f>
        <v>-24594</v>
      </c>
      <c r="D67" s="116">
        <f t="shared" si="4"/>
        <v>179130</v>
      </c>
      <c r="E67" s="116">
        <f t="shared" si="4"/>
        <v>61054</v>
      </c>
      <c r="F67" s="116">
        <f t="shared" si="4"/>
        <v>-92502</v>
      </c>
      <c r="G67" s="116">
        <f t="shared" si="4"/>
        <v>155850</v>
      </c>
      <c r="H67" s="116">
        <f t="shared" si="4"/>
        <v>55200.738799999963</v>
      </c>
      <c r="I67" s="116">
        <f t="shared" si="4"/>
        <v>69142.557149499946</v>
      </c>
      <c r="J67" s="116">
        <f t="shared" si="4"/>
        <v>92279.797312900249</v>
      </c>
      <c r="K67" s="116">
        <f t="shared" ref="K67" si="5">K40+K52+K64</f>
        <v>6402.4066572473384</v>
      </c>
      <c r="L67" s="100"/>
    </row>
    <row r="68" spans="2:12" ht="14.4" customHeight="1" x14ac:dyDescent="0.3">
      <c r="B68" s="116" t="s">
        <v>125</v>
      </c>
      <c r="C68" s="116">
        <v>286344</v>
      </c>
      <c r="D68" s="116">
        <f t="shared" ref="D68:K68" si="6">C69</f>
        <v>261750</v>
      </c>
      <c r="E68" s="116">
        <f t="shared" si="6"/>
        <v>440880</v>
      </c>
      <c r="F68" s="116">
        <f t="shared" si="6"/>
        <v>501934</v>
      </c>
      <c r="G68" s="116">
        <f t="shared" si="6"/>
        <v>409432</v>
      </c>
      <c r="H68" s="116">
        <f t="shared" si="6"/>
        <v>565282</v>
      </c>
      <c r="I68" s="116">
        <f t="shared" si="6"/>
        <v>620482.73879999993</v>
      </c>
      <c r="J68" s="116">
        <f t="shared" si="6"/>
        <v>689625.29594949982</v>
      </c>
      <c r="K68" s="116">
        <f t="shared" si="6"/>
        <v>781905.09326240001</v>
      </c>
      <c r="L68" s="100"/>
    </row>
    <row r="69" spans="2:12" ht="14.4" customHeight="1" x14ac:dyDescent="0.3">
      <c r="B69" s="116" t="s">
        <v>126</v>
      </c>
      <c r="C69" s="116">
        <f t="shared" ref="C69:J69" si="7">C68+C67</f>
        <v>261750</v>
      </c>
      <c r="D69" s="116">
        <f t="shared" si="7"/>
        <v>440880</v>
      </c>
      <c r="E69" s="116">
        <f t="shared" si="7"/>
        <v>501934</v>
      </c>
      <c r="F69" s="116">
        <f t="shared" si="7"/>
        <v>409432</v>
      </c>
      <c r="G69" s="116">
        <f t="shared" si="7"/>
        <v>565282</v>
      </c>
      <c r="H69" s="116">
        <f t="shared" si="7"/>
        <v>620482.73879999993</v>
      </c>
      <c r="I69" s="116">
        <f t="shared" si="7"/>
        <v>689625.29594949982</v>
      </c>
      <c r="J69" s="116">
        <f t="shared" si="7"/>
        <v>781905.09326240001</v>
      </c>
      <c r="K69" s="116">
        <f t="shared" ref="K69" si="8">K68+K67</f>
        <v>788307.49991964735</v>
      </c>
      <c r="L69" s="100"/>
    </row>
    <row r="70" spans="2:12" ht="14.4" customHeight="1" x14ac:dyDescent="0.3">
      <c r="L70" s="100"/>
    </row>
    <row r="71" spans="2:12" ht="14.4" customHeight="1" x14ac:dyDescent="0.3">
      <c r="L71" s="100"/>
    </row>
    <row r="72" spans="2:12" ht="14.4" customHeight="1" x14ac:dyDescent="0.3">
      <c r="B72" s="88" t="s">
        <v>98</v>
      </c>
      <c r="C72" s="88">
        <f>C40+C45</f>
        <v>317686</v>
      </c>
      <c r="D72" s="88">
        <f t="shared" ref="D72:J72" si="9">D40+D45</f>
        <v>416059</v>
      </c>
      <c r="E72" s="88">
        <f t="shared" si="9"/>
        <v>211948</v>
      </c>
      <c r="F72" s="88">
        <f t="shared" si="9"/>
        <v>92426</v>
      </c>
      <c r="G72" s="88">
        <f t="shared" si="9"/>
        <v>72382</v>
      </c>
      <c r="H72" s="88">
        <f t="shared" si="9"/>
        <v>131052.97839999996</v>
      </c>
      <c r="I72" s="88">
        <f t="shared" si="9"/>
        <v>122195.53554949991</v>
      </c>
      <c r="J72" s="88">
        <f t="shared" si="9"/>
        <v>214475.33286240016</v>
      </c>
      <c r="K72" s="88">
        <f t="shared" ref="K72" si="10">K40+K45</f>
        <v>220877.7395196475</v>
      </c>
      <c r="L72" s="100"/>
    </row>
    <row r="73" spans="2:12" ht="14.4" customHeight="1" x14ac:dyDescent="0.3">
      <c r="B73" s="88" t="s">
        <v>127</v>
      </c>
      <c r="C73" s="88">
        <f>C72-'P&amp;L'!C26-'P&amp;L'!C27</f>
        <v>373777</v>
      </c>
      <c r="D73" s="88">
        <f>D72-'P&amp;L'!D26-'P&amp;L'!D27</f>
        <v>491508</v>
      </c>
      <c r="E73" s="88">
        <f>E72-'P&amp;L'!E26-'P&amp;L'!E27</f>
        <v>264286</v>
      </c>
      <c r="F73" s="88">
        <f>F72-'P&amp;L'!F26-'P&amp;L'!F27</f>
        <v>104131</v>
      </c>
      <c r="G73" s="88">
        <f>G72-'P&amp;L'!G26-'P&amp;L'!G27</f>
        <v>81793</v>
      </c>
      <c r="H73" s="88">
        <f>H72-'P&amp;L'!H26-'P&amp;L'!H27</f>
        <v>141498.97839999996</v>
      </c>
      <c r="I73" s="88">
        <f>I72-'P&amp;L'!I26-'P&amp;L'!I27</f>
        <v>132641.53554949991</v>
      </c>
      <c r="J73" s="88">
        <f>J72-'P&amp;L'!J26-'P&amp;L'!J27</f>
        <v>224921.33286240016</v>
      </c>
      <c r="K73" s="88">
        <f>K72-'P&amp;L'!K26-'P&amp;L'!K27</f>
        <v>231323.7395196475</v>
      </c>
      <c r="L73" s="100"/>
    </row>
  </sheetData>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Cover</vt:lpstr>
      <vt:lpstr>NAV</vt:lpstr>
      <vt:lpstr>P&amp;L</vt:lpstr>
      <vt:lpstr>Balance</vt:lpstr>
      <vt:lpstr>CashFlow</vt:lpstr>
    </vt:vector>
  </TitlesOfParts>
  <Company>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Full name</cp:lastModifiedBy>
  <dcterms:created xsi:type="dcterms:W3CDTF">2026-05-27T16:22:53Z</dcterms:created>
  <dcterms:modified xsi:type="dcterms:W3CDTF">2026-08-20T16:09:14Z</dcterms:modified>
</cp:coreProperties>
</file>