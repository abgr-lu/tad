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Objects="none" codeName="ThisWorkbook" defaultThemeVersion="124226"/>
  <bookViews>
    <workbookView xWindow="-12" yWindow="-12" windowWidth="11616" windowHeight="9660" tabRatio="486" activeTab="1"/>
  </bookViews>
  <sheets>
    <sheet name="Cover" sheetId="29" r:id="rId1"/>
    <sheet name="NAV" sheetId="19" r:id="rId2"/>
    <sheet name="P&amp;L" sheetId="22" r:id="rId3"/>
    <sheet name="Balance" sheetId="23" r:id="rId4"/>
    <sheet name="CashFlow" sheetId="24" r:id="rId5"/>
  </sheets>
  <externalReferences>
    <externalReference r:id="rId6"/>
    <externalReference r:id="rId7"/>
  </externalReferences>
  <calcPr calcId="144525"/>
</workbook>
</file>

<file path=xl/calcChain.xml><?xml version="1.0" encoding="utf-8"?>
<calcChain xmlns="http://schemas.openxmlformats.org/spreadsheetml/2006/main">
  <c r="V32" i="23" l="1"/>
  <c r="U32" i="23"/>
  <c r="T32" i="23"/>
  <c r="S32" i="23"/>
  <c r="W41" i="24" l="1"/>
  <c r="W31" i="24"/>
  <c r="W38" i="24" s="1"/>
  <c r="W20" i="24"/>
  <c r="W5" i="24"/>
  <c r="W4" i="24"/>
  <c r="W18" i="24" s="1"/>
  <c r="W28" i="24" s="1"/>
  <c r="W2" i="24"/>
  <c r="V53" i="23"/>
  <c r="S10" i="19" s="1"/>
  <c r="V38" i="23"/>
  <c r="V24" i="23"/>
  <c r="V12" i="23"/>
  <c r="V11" i="23"/>
  <c r="S27" i="19"/>
  <c r="W109" i="22"/>
  <c r="W86" i="22"/>
  <c r="W41" i="22"/>
  <c r="W39" i="22"/>
  <c r="W15" i="22"/>
  <c r="S36" i="19"/>
  <c r="S23" i="19"/>
  <c r="S11" i="19" s="1"/>
  <c r="S17" i="19"/>
  <c r="S14" i="19"/>
  <c r="S8" i="19"/>
  <c r="S20" i="24"/>
  <c r="U11" i="23"/>
  <c r="T11" i="23"/>
  <c r="S11" i="23"/>
  <c r="Q11" i="23"/>
  <c r="R11" i="23"/>
  <c r="P27" i="19"/>
  <c r="T41" i="24"/>
  <c r="W62" i="24" l="1"/>
  <c r="W83" i="22"/>
  <c r="W87" i="22"/>
  <c r="W91" i="22"/>
  <c r="W95" i="22"/>
  <c r="W99" i="22"/>
  <c r="W103" i="22"/>
  <c r="W107" i="22"/>
  <c r="W82" i="22"/>
  <c r="W90" i="22"/>
  <c r="W98" i="22"/>
  <c r="W106" i="22"/>
  <c r="W84" i="22"/>
  <c r="W88" i="22"/>
  <c r="W92" i="22"/>
  <c r="W96" i="22"/>
  <c r="W100" i="22"/>
  <c r="W104" i="22"/>
  <c r="W108" i="22"/>
  <c r="W94" i="22"/>
  <c r="W102" i="22"/>
  <c r="W81" i="22"/>
  <c r="W85" i="22"/>
  <c r="W89" i="22"/>
  <c r="W93" i="22"/>
  <c r="W97" i="22"/>
  <c r="W101" i="22"/>
  <c r="W105" i="22"/>
  <c r="M2" i="19"/>
  <c r="S41" i="19" s="1"/>
  <c r="S32" i="19" l="1"/>
  <c r="W63" i="24"/>
  <c r="S37" i="19"/>
  <c r="S40" i="19" s="1"/>
  <c r="W2" i="22"/>
  <c r="W4" i="22" s="1"/>
  <c r="W17" i="22" s="1"/>
  <c r="Q27" i="19"/>
  <c r="R27" i="19" s="1"/>
  <c r="S12" i="23"/>
  <c r="T12" i="23" s="1"/>
  <c r="U12" i="23" s="1"/>
  <c r="V20" i="24"/>
  <c r="U53" i="23"/>
  <c r="T53" i="23"/>
  <c r="S53" i="23"/>
  <c r="R53" i="23"/>
  <c r="Q53" i="23"/>
  <c r="P53" i="23"/>
  <c r="O53" i="23"/>
  <c r="N53" i="23"/>
  <c r="M53" i="23"/>
  <c r="L53" i="23"/>
  <c r="K53" i="23"/>
  <c r="J53" i="23"/>
  <c r="I53" i="23"/>
  <c r="H53" i="23"/>
  <c r="G53" i="23"/>
  <c r="F53" i="23"/>
  <c r="E53" i="23"/>
  <c r="D53" i="23"/>
  <c r="C53" i="23"/>
  <c r="Q2" i="23"/>
  <c r="P2" i="23"/>
  <c r="O2" i="23"/>
  <c r="N2" i="23"/>
  <c r="M2" i="23"/>
  <c r="L2" i="23"/>
  <c r="K2" i="23"/>
  <c r="J2" i="23"/>
  <c r="I2" i="23"/>
  <c r="H2" i="23"/>
  <c r="G2" i="23"/>
  <c r="F2" i="23"/>
  <c r="E2" i="23"/>
  <c r="C2" i="23"/>
  <c r="D2" i="23"/>
  <c r="W26" i="22" l="1"/>
  <c r="W29" i="22" s="1"/>
  <c r="W32" i="22" s="1"/>
  <c r="W18" i="22"/>
  <c r="W19" i="22" s="1"/>
  <c r="U20" i="24"/>
  <c r="T20" i="24"/>
  <c r="O23" i="19"/>
  <c r="W44" i="22" l="1"/>
  <c r="W45" i="22" s="1"/>
  <c r="S34" i="19" s="1"/>
  <c r="S38" i="19" s="1"/>
  <c r="S35" i="19"/>
  <c r="W35" i="22"/>
  <c r="W36" i="22"/>
  <c r="R23" i="19"/>
  <c r="R11" i="19" s="1"/>
  <c r="R14" i="19"/>
  <c r="R8" i="19"/>
  <c r="V31" i="24"/>
  <c r="V38" i="24" s="1"/>
  <c r="V5" i="24"/>
  <c r="V4" i="24" s="1"/>
  <c r="U24" i="23"/>
  <c r="V41" i="22"/>
  <c r="V39" i="22"/>
  <c r="V15" i="22"/>
  <c r="R10" i="19" l="1"/>
  <c r="H109" i="22" l="1"/>
  <c r="H108" i="22"/>
  <c r="H107" i="22"/>
  <c r="H106" i="22"/>
  <c r="H105" i="22"/>
  <c r="H104" i="22"/>
  <c r="H103" i="22"/>
  <c r="H102" i="22"/>
  <c r="H101" i="22"/>
  <c r="H100" i="22"/>
  <c r="H99" i="22"/>
  <c r="H98" i="22"/>
  <c r="H97" i="22"/>
  <c r="H96" i="22"/>
  <c r="H95" i="22"/>
  <c r="H94" i="22"/>
  <c r="H93" i="22"/>
  <c r="H92" i="22"/>
  <c r="H91" i="22"/>
  <c r="H90" i="22"/>
  <c r="H89" i="22"/>
  <c r="H88" i="22"/>
  <c r="H87" i="22"/>
  <c r="H86" i="22"/>
  <c r="H85" i="22"/>
  <c r="H84" i="22"/>
  <c r="H83" i="22"/>
  <c r="H82" i="22"/>
  <c r="H81" i="22"/>
  <c r="J109" i="22"/>
  <c r="J108" i="22"/>
  <c r="J107" i="22"/>
  <c r="J106" i="22"/>
  <c r="J105" i="22"/>
  <c r="J104" i="22"/>
  <c r="J103" i="22"/>
  <c r="J102" i="22"/>
  <c r="J101" i="22"/>
  <c r="J100" i="22"/>
  <c r="J99" i="22"/>
  <c r="J98" i="22"/>
  <c r="J97" i="22"/>
  <c r="J96" i="22"/>
  <c r="J95" i="22"/>
  <c r="J94" i="22"/>
  <c r="J93" i="22"/>
  <c r="J92" i="22"/>
  <c r="J91" i="22"/>
  <c r="J90" i="22"/>
  <c r="J89" i="22"/>
  <c r="J88" i="22"/>
  <c r="J87" i="22"/>
  <c r="J86" i="22"/>
  <c r="J85" i="22"/>
  <c r="J84" i="22"/>
  <c r="J83" i="22"/>
  <c r="J82" i="22"/>
  <c r="J81" i="22"/>
  <c r="K109" i="22"/>
  <c r="K108" i="22"/>
  <c r="K107" i="22"/>
  <c r="K106" i="22"/>
  <c r="K105" i="22"/>
  <c r="K104" i="22"/>
  <c r="K103" i="22"/>
  <c r="K102" i="22"/>
  <c r="K101" i="22"/>
  <c r="K100" i="22"/>
  <c r="K99" i="22"/>
  <c r="K98" i="22"/>
  <c r="K97" i="22"/>
  <c r="K96" i="22"/>
  <c r="K95" i="22"/>
  <c r="K94" i="22"/>
  <c r="K93" i="22"/>
  <c r="K92" i="22"/>
  <c r="K91" i="22"/>
  <c r="K90" i="22"/>
  <c r="K89" i="22"/>
  <c r="K88" i="22"/>
  <c r="K87" i="22"/>
  <c r="K86" i="22"/>
  <c r="K85" i="22"/>
  <c r="K84" i="22"/>
  <c r="K83" i="22"/>
  <c r="K82" i="22"/>
  <c r="K81" i="22"/>
  <c r="L109" i="22"/>
  <c r="L108" i="22"/>
  <c r="L107" i="22"/>
  <c r="L106" i="22"/>
  <c r="L105" i="22"/>
  <c r="L104" i="22"/>
  <c r="L103" i="22"/>
  <c r="L102" i="22"/>
  <c r="L101" i="22"/>
  <c r="L100" i="22"/>
  <c r="L99" i="22"/>
  <c r="L98" i="22"/>
  <c r="L97" i="22"/>
  <c r="L96" i="22"/>
  <c r="L95" i="22"/>
  <c r="L94" i="22"/>
  <c r="L93" i="22"/>
  <c r="L92" i="22"/>
  <c r="L91" i="22"/>
  <c r="L90" i="22"/>
  <c r="L89" i="22"/>
  <c r="L88" i="22"/>
  <c r="L87" i="22"/>
  <c r="L86" i="22"/>
  <c r="L85" i="22"/>
  <c r="L84" i="22"/>
  <c r="L83" i="22"/>
  <c r="L82" i="22"/>
  <c r="L81" i="22"/>
  <c r="M109" i="22"/>
  <c r="M108" i="22"/>
  <c r="M107" i="22"/>
  <c r="M106" i="22"/>
  <c r="M105" i="22"/>
  <c r="M104" i="22"/>
  <c r="M103" i="22"/>
  <c r="M102" i="22"/>
  <c r="M101" i="22"/>
  <c r="M100" i="22"/>
  <c r="M99" i="22"/>
  <c r="M98" i="22"/>
  <c r="M97" i="22"/>
  <c r="M96" i="22"/>
  <c r="M95" i="22"/>
  <c r="M94" i="22"/>
  <c r="M93" i="22"/>
  <c r="M92" i="22"/>
  <c r="M91" i="22"/>
  <c r="M90" i="22"/>
  <c r="M89" i="22"/>
  <c r="M88" i="22"/>
  <c r="M87" i="22"/>
  <c r="M86" i="22"/>
  <c r="M85" i="22"/>
  <c r="M84" i="22"/>
  <c r="M83" i="22"/>
  <c r="M82" i="22"/>
  <c r="M81" i="22"/>
  <c r="I106" i="22"/>
  <c r="N11" i="19"/>
  <c r="Q23" i="19"/>
  <c r="Q11" i="19" s="1"/>
  <c r="P23" i="19"/>
  <c r="P11" i="19" s="1"/>
  <c r="O11" i="19"/>
  <c r="H24" i="19"/>
  <c r="H21" i="19"/>
  <c r="H22" i="19"/>
  <c r="H23" i="19"/>
  <c r="I83" i="22" l="1"/>
  <c r="I99" i="22"/>
  <c r="I84" i="22"/>
  <c r="I88" i="22"/>
  <c r="I92" i="22"/>
  <c r="I96" i="22"/>
  <c r="I100" i="22"/>
  <c r="I104" i="22"/>
  <c r="I108" i="22"/>
  <c r="I91" i="22"/>
  <c r="I103" i="22"/>
  <c r="I81" i="22"/>
  <c r="I85" i="22"/>
  <c r="I89" i="22"/>
  <c r="I93" i="22"/>
  <c r="I97" i="22"/>
  <c r="I101" i="22"/>
  <c r="I105" i="22"/>
  <c r="I109" i="22"/>
  <c r="I87" i="22"/>
  <c r="I95" i="22"/>
  <c r="I107" i="22"/>
  <c r="I82" i="22"/>
  <c r="I86" i="22"/>
  <c r="I90" i="22"/>
  <c r="I94" i="22"/>
  <c r="I98" i="22"/>
  <c r="I102" i="22"/>
  <c r="V45" i="23" l="1"/>
  <c r="V31" i="23"/>
  <c r="V36" i="23" s="1"/>
  <c r="V40" i="23" s="1"/>
  <c r="U45" i="23"/>
  <c r="U31" i="23"/>
  <c r="U36" i="23" s="1"/>
  <c r="V96" i="22"/>
  <c r="V106" i="22"/>
  <c r="V108" i="22"/>
  <c r="V89" i="22"/>
  <c r="V86" i="22"/>
  <c r="V83" i="22"/>
  <c r="V99" i="22"/>
  <c r="V93" i="22"/>
  <c r="V92" i="22"/>
  <c r="V88" i="22"/>
  <c r="V97" i="22"/>
  <c r="V94" i="22"/>
  <c r="V87" i="22"/>
  <c r="V103" i="22"/>
  <c r="V101" i="22"/>
  <c r="V100" i="22"/>
  <c r="V104" i="22"/>
  <c r="V105" i="22"/>
  <c r="V98" i="22"/>
  <c r="V91" i="22"/>
  <c r="V107" i="22"/>
  <c r="V109" i="22"/>
  <c r="V85" i="22"/>
  <c r="V84" i="22"/>
  <c r="V82" i="22"/>
  <c r="V102" i="22"/>
  <c r="V95" i="22"/>
  <c r="V81" i="22"/>
  <c r="V90" i="22"/>
  <c r="T107" i="22"/>
  <c r="T103" i="22"/>
  <c r="T99" i="22"/>
  <c r="T95" i="22"/>
  <c r="T91" i="22"/>
  <c r="T87" i="22"/>
  <c r="T83" i="22"/>
  <c r="T106" i="22"/>
  <c r="T102" i="22"/>
  <c r="T98" i="22"/>
  <c r="T94" i="22"/>
  <c r="T90" i="22"/>
  <c r="T86" i="22"/>
  <c r="T82" i="22"/>
  <c r="T109" i="22"/>
  <c r="T105" i="22"/>
  <c r="T101" i="22"/>
  <c r="T97" i="22"/>
  <c r="T93" i="22"/>
  <c r="T89" i="22"/>
  <c r="T85" i="22"/>
  <c r="T81" i="22"/>
  <c r="T108" i="22"/>
  <c r="T104" i="22"/>
  <c r="T100" i="22"/>
  <c r="T96" i="22"/>
  <c r="T92" i="22"/>
  <c r="T88" i="22"/>
  <c r="T84" i="22"/>
  <c r="Q4" i="24"/>
  <c r="W49" i="24" l="1"/>
  <c r="W54" i="24" s="1"/>
  <c r="W56" i="24" s="1"/>
  <c r="S6" i="19"/>
  <c r="V46" i="23"/>
  <c r="R6" i="19"/>
  <c r="V2" i="22"/>
  <c r="V4" i="22" s="1"/>
  <c r="V17" i="22" s="1"/>
  <c r="V18" i="22" s="1"/>
  <c r="V19" i="22" s="1"/>
  <c r="V44" i="22" s="1"/>
  <c r="V45" i="22" s="1"/>
  <c r="U108" i="22"/>
  <c r="U104" i="22"/>
  <c r="U100" i="22"/>
  <c r="U96" i="22"/>
  <c r="U92" i="22"/>
  <c r="U88" i="22"/>
  <c r="U84" i="22"/>
  <c r="U107" i="22"/>
  <c r="U103" i="22"/>
  <c r="U99" i="22"/>
  <c r="U95" i="22"/>
  <c r="U91" i="22"/>
  <c r="U87" i="22"/>
  <c r="U83" i="22"/>
  <c r="U106" i="22"/>
  <c r="U102" i="22"/>
  <c r="U98" i="22"/>
  <c r="U94" i="22"/>
  <c r="U90" i="22"/>
  <c r="U86" i="22"/>
  <c r="U82" i="22"/>
  <c r="U109" i="22"/>
  <c r="U105" i="22"/>
  <c r="U101" i="22"/>
  <c r="U97" i="22"/>
  <c r="U93" i="22"/>
  <c r="U89" i="22"/>
  <c r="U85" i="22"/>
  <c r="U81" i="22"/>
  <c r="Q14" i="19"/>
  <c r="Q32" i="19" s="1"/>
  <c r="Q8" i="19"/>
  <c r="P14" i="19"/>
  <c r="P8" i="19"/>
  <c r="O14" i="19"/>
  <c r="O8" i="19"/>
  <c r="N14" i="19"/>
  <c r="N8" i="19"/>
  <c r="U41" i="22"/>
  <c r="U39" i="22"/>
  <c r="U15" i="22"/>
  <c r="T41" i="22"/>
  <c r="T39" i="22"/>
  <c r="T15" i="22"/>
  <c r="Q41" i="24"/>
  <c r="R20" i="24"/>
  <c r="Q20" i="24"/>
  <c r="P20" i="24"/>
  <c r="U31" i="24"/>
  <c r="U38" i="24" s="1"/>
  <c r="U5" i="24"/>
  <c r="U4" i="24" s="1"/>
  <c r="T31" i="24"/>
  <c r="T38" i="24" s="1"/>
  <c r="T5" i="24"/>
  <c r="T4" i="24" s="1"/>
  <c r="S38" i="24"/>
  <c r="R38" i="24"/>
  <c r="R5" i="24"/>
  <c r="T24" i="23"/>
  <c r="S24" i="23"/>
  <c r="R24" i="23"/>
  <c r="Q24" i="23"/>
  <c r="P13" i="22"/>
  <c r="S41" i="22"/>
  <c r="S39" i="22"/>
  <c r="S15" i="22"/>
  <c r="R41" i="22"/>
  <c r="R39" i="22"/>
  <c r="R15" i="22"/>
  <c r="O10" i="19" l="1"/>
  <c r="Q10" i="19"/>
  <c r="N10" i="19"/>
  <c r="P10" i="19"/>
  <c r="V26" i="22"/>
  <c r="V29" i="22" s="1"/>
  <c r="V32" i="22" s="1"/>
  <c r="R4" i="22"/>
  <c r="R17" i="22" s="1"/>
  <c r="R18" i="22" s="1"/>
  <c r="R19" i="22" s="1"/>
  <c r="R44" i="22" l="1"/>
  <c r="R45" i="22" s="1"/>
  <c r="V2" i="24"/>
  <c r="V18" i="24" s="1"/>
  <c r="V28" i="24" s="1"/>
  <c r="V36" i="22"/>
  <c r="V35" i="22"/>
  <c r="S4" i="22"/>
  <c r="R26" i="22"/>
  <c r="R29" i="22" s="1"/>
  <c r="V62" i="24" l="1"/>
  <c r="V63" i="24" s="1"/>
  <c r="T2" i="22"/>
  <c r="T4" i="22" s="1"/>
  <c r="T17" i="22" s="1"/>
  <c r="T18" i="22" s="1"/>
  <c r="T19" i="22" s="1"/>
  <c r="T44" i="22" s="1"/>
  <c r="T45" i="22" s="1"/>
  <c r="S17" i="22"/>
  <c r="S18" i="22" s="1"/>
  <c r="S19" i="22" s="1"/>
  <c r="R32" i="22"/>
  <c r="R36" i="22" s="1"/>
  <c r="R2" i="24"/>
  <c r="R18" i="24" s="1"/>
  <c r="R28" i="24" s="1"/>
  <c r="R62" i="24" s="1"/>
  <c r="S44" i="22" l="1"/>
  <c r="S45" i="22" s="1"/>
  <c r="U41" i="24"/>
  <c r="Q17" i="19"/>
  <c r="U2" i="22"/>
  <c r="U4" i="22" s="1"/>
  <c r="U17" i="22" s="1"/>
  <c r="U18" i="22" s="1"/>
  <c r="U19" i="22" s="1"/>
  <c r="S26" i="22"/>
  <c r="S29" i="22" s="1"/>
  <c r="T26" i="22"/>
  <c r="T29" i="22" s="1"/>
  <c r="R35" i="22"/>
  <c r="R63" i="24" l="1"/>
  <c r="S38" i="23"/>
  <c r="U44" i="22"/>
  <c r="U45" i="22" s="1"/>
  <c r="T2" i="24"/>
  <c r="T18" i="24" s="1"/>
  <c r="T28" i="24" s="1"/>
  <c r="S18" i="24"/>
  <c r="S28" i="24" s="1"/>
  <c r="S62" i="24" s="1"/>
  <c r="S32" i="22"/>
  <c r="S35" i="22" s="1"/>
  <c r="T32" i="22"/>
  <c r="U26" i="22"/>
  <c r="U29" i="22" s="1"/>
  <c r="Q35" i="19"/>
  <c r="T62" i="24" l="1"/>
  <c r="T63" i="24" s="1"/>
  <c r="T38" i="23"/>
  <c r="Q34" i="19"/>
  <c r="Q38" i="19" s="1"/>
  <c r="R17" i="19"/>
  <c r="V41" i="24"/>
  <c r="S63" i="24"/>
  <c r="S36" i="22"/>
  <c r="T36" i="22"/>
  <c r="T35" i="22"/>
  <c r="U2" i="24"/>
  <c r="U18" i="24" s="1"/>
  <c r="U28" i="24" s="1"/>
  <c r="U62" i="24" s="1"/>
  <c r="U32" i="22"/>
  <c r="O20" i="24"/>
  <c r="O4" i="22"/>
  <c r="P41" i="24"/>
  <c r="H20" i="19"/>
  <c r="U38" i="23" l="1"/>
  <c r="U40" i="23" s="1"/>
  <c r="U36" i="22"/>
  <c r="U35" i="22"/>
  <c r="Q31" i="23"/>
  <c r="Q36" i="23" s="1"/>
  <c r="Q45" i="23"/>
  <c r="N6" i="19" l="1"/>
  <c r="U63" i="24"/>
  <c r="Q37" i="19"/>
  <c r="Q40" i="19" s="1"/>
  <c r="R45" i="23"/>
  <c r="S54" i="24" s="1"/>
  <c r="S56" i="24" s="1"/>
  <c r="R31" i="23"/>
  <c r="R36" i="23" s="1"/>
  <c r="O6" i="19" l="1"/>
  <c r="R46" i="23"/>
  <c r="S45" i="23"/>
  <c r="T49" i="24" s="1"/>
  <c r="T54" i="24" s="1"/>
  <c r="T56" i="24" s="1"/>
  <c r="S31" i="23"/>
  <c r="S36" i="23" s="1"/>
  <c r="P6" i="19" l="1"/>
  <c r="T45" i="23"/>
  <c r="T31" i="23"/>
  <c r="T36" i="23" s="1"/>
  <c r="S46" i="23"/>
  <c r="U49" i="24" l="1"/>
  <c r="U54" i="24" s="1"/>
  <c r="U56" i="24" s="1"/>
  <c r="V49" i="24"/>
  <c r="V54" i="24" s="1"/>
  <c r="V56" i="24" s="1"/>
  <c r="Q6" i="19"/>
  <c r="U46" i="23"/>
  <c r="T46" i="23"/>
  <c r="Q38" i="24" l="1"/>
  <c r="P38" i="24"/>
  <c r="O38" i="24"/>
  <c r="P5" i="24"/>
  <c r="P4" i="24" s="1"/>
  <c r="O4" i="24"/>
  <c r="P24" i="23"/>
  <c r="O24" i="23"/>
  <c r="N24" i="23"/>
  <c r="Q41" i="22"/>
  <c r="Q39" i="22"/>
  <c r="P41" i="22"/>
  <c r="P39" i="22"/>
  <c r="O41" i="22"/>
  <c r="O39" i="22"/>
  <c r="Q15" i="22"/>
  <c r="P15" i="22"/>
  <c r="O15" i="22"/>
  <c r="N38" i="24" l="1"/>
  <c r="N20" i="24"/>
  <c r="N5" i="24"/>
  <c r="N4" i="24" s="1"/>
  <c r="M24" i="23"/>
  <c r="N41" i="22"/>
  <c r="M41" i="22"/>
  <c r="N39" i="22"/>
  <c r="M39" i="22"/>
  <c r="N15" i="22"/>
  <c r="G41" i="22"/>
  <c r="H41" i="22"/>
  <c r="I41" i="22"/>
  <c r="J41" i="22"/>
  <c r="K41" i="22"/>
  <c r="G39" i="22"/>
  <c r="H39" i="22"/>
  <c r="I39" i="22"/>
  <c r="J39" i="22"/>
  <c r="K39" i="22"/>
  <c r="L41" i="22"/>
  <c r="L39" i="22"/>
  <c r="N31" i="23" l="1"/>
  <c r="N36" i="23" s="1"/>
  <c r="N45" i="23"/>
  <c r="M45" i="23"/>
  <c r="M31" i="23"/>
  <c r="M36" i="23" s="1"/>
  <c r="N46" i="23" l="1"/>
  <c r="O31" i="23"/>
  <c r="O36" i="23" s="1"/>
  <c r="O45" i="23"/>
  <c r="P4" i="22"/>
  <c r="O17" i="22"/>
  <c r="O18" i="22" s="1"/>
  <c r="O19" i="22" s="1"/>
  <c r="O44" i="22" s="1"/>
  <c r="O45" i="22" s="1"/>
  <c r="N4" i="22"/>
  <c r="M38" i="24"/>
  <c r="M20" i="24"/>
  <c r="M5" i="24"/>
  <c r="M4" i="24" s="1"/>
  <c r="L24" i="23"/>
  <c r="M15" i="22"/>
  <c r="O46" i="23" l="1"/>
  <c r="P31" i="23"/>
  <c r="P36" i="23" s="1"/>
  <c r="P45" i="23"/>
  <c r="Q4" i="22"/>
  <c r="N17" i="22"/>
  <c r="O26" i="22"/>
  <c r="O29" i="22" s="1"/>
  <c r="P17" i="22"/>
  <c r="P18" i="22" s="1"/>
  <c r="P19" i="22" s="1"/>
  <c r="M4" i="22"/>
  <c r="K38" i="24"/>
  <c r="L38" i="24"/>
  <c r="L20" i="24"/>
  <c r="K20" i="24"/>
  <c r="L5" i="24"/>
  <c r="L4" i="24" s="1"/>
  <c r="K5" i="24"/>
  <c r="K4" i="24" s="1"/>
  <c r="J54" i="24"/>
  <c r="J38" i="24"/>
  <c r="J20" i="24"/>
  <c r="J4" i="24"/>
  <c r="Q46" i="23" l="1"/>
  <c r="P44" i="22"/>
  <c r="P45" i="22" s="1"/>
  <c r="N26" i="22"/>
  <c r="N29" i="22" s="1"/>
  <c r="N2" i="24" s="1"/>
  <c r="N18" i="24" s="1"/>
  <c r="N28" i="24" s="1"/>
  <c r="N62" i="24" s="1"/>
  <c r="N63" i="24" s="1"/>
  <c r="N18" i="22"/>
  <c r="N19" i="22" s="1"/>
  <c r="Q17" i="22"/>
  <c r="P46" i="23"/>
  <c r="P26" i="22"/>
  <c r="P29" i="22" s="1"/>
  <c r="M17" i="22"/>
  <c r="M18" i="22" s="1"/>
  <c r="M19" i="22" s="1"/>
  <c r="O18" i="24"/>
  <c r="O28" i="24" s="1"/>
  <c r="O32" i="22"/>
  <c r="O62" i="24" l="1"/>
  <c r="O63" i="24" s="1"/>
  <c r="Q26" i="22"/>
  <c r="Q29" i="22" s="1"/>
  <c r="Q2" i="24" s="1"/>
  <c r="Q18" i="22"/>
  <c r="Q19" i="22" s="1"/>
  <c r="N32" i="22"/>
  <c r="N36" i="22" s="1"/>
  <c r="N44" i="22"/>
  <c r="N45" i="22" s="1"/>
  <c r="M44" i="22"/>
  <c r="M45" i="22" s="1"/>
  <c r="O35" i="22"/>
  <c r="O36" i="22"/>
  <c r="P2" i="24"/>
  <c r="P18" i="24" s="1"/>
  <c r="P28" i="24" s="1"/>
  <c r="P32" i="22"/>
  <c r="P62" i="24" l="1"/>
  <c r="P63" i="24" s="1"/>
  <c r="Q32" i="22"/>
  <c r="N35" i="22"/>
  <c r="Q44" i="22"/>
  <c r="Q45" i="22" s="1"/>
  <c r="Q18" i="24"/>
  <c r="Q28" i="24" s="1"/>
  <c r="O54" i="24"/>
  <c r="O56" i="24" s="1"/>
  <c r="P54" i="24"/>
  <c r="P56" i="24" s="1"/>
  <c r="P36" i="22"/>
  <c r="P35" i="22"/>
  <c r="Q35" i="22"/>
  <c r="Q36" i="22"/>
  <c r="Q62" i="24" l="1"/>
  <c r="Q63" i="24" s="1"/>
  <c r="R54" i="24"/>
  <c r="R56" i="24" s="1"/>
  <c r="N17" i="19"/>
  <c r="Q36" i="19" s="1"/>
  <c r="Q41" i="19" s="1"/>
  <c r="Q54" i="24"/>
  <c r="Q56" i="24" s="1"/>
  <c r="K24" i="23" l="1"/>
  <c r="L15" i="22"/>
  <c r="L4" i="22" l="1"/>
  <c r="I20" i="24"/>
  <c r="I4" i="24"/>
  <c r="L17" i="22" l="1"/>
  <c r="L18" i="22" s="1"/>
  <c r="L19" i="22" s="1"/>
  <c r="K31" i="23"/>
  <c r="K36" i="23" s="1"/>
  <c r="K45" i="23"/>
  <c r="L44" i="22" l="1"/>
  <c r="L45" i="22" s="1"/>
  <c r="L31" i="23"/>
  <c r="L36" i="23" s="1"/>
  <c r="L45" i="23"/>
  <c r="M46" i="23" l="1"/>
  <c r="L46" i="23"/>
  <c r="J24" i="23" l="1"/>
  <c r="K15" i="22"/>
  <c r="K4" i="22" l="1"/>
  <c r="I24" i="23"/>
  <c r="J15" i="22"/>
  <c r="C45" i="23"/>
  <c r="C47" i="23" s="1"/>
  <c r="D45" i="23"/>
  <c r="D47" i="23" s="1"/>
  <c r="E45" i="23"/>
  <c r="E47" i="23" s="1"/>
  <c r="G45" i="23"/>
  <c r="F45" i="23"/>
  <c r="F47" i="23" l="1"/>
  <c r="G47" i="23"/>
  <c r="K17" i="22"/>
  <c r="K18" i="22" s="1"/>
  <c r="K19" i="22" s="1"/>
  <c r="K44" i="22" s="1"/>
  <c r="K45" i="22" s="1"/>
  <c r="I11" i="23"/>
  <c r="J4" i="22"/>
  <c r="E46" i="23"/>
  <c r="F46" i="23"/>
  <c r="D46" i="23"/>
  <c r="G46" i="23"/>
  <c r="J17" i="22" l="1"/>
  <c r="J18" i="22" s="1"/>
  <c r="J19" i="22" s="1"/>
  <c r="J11" i="23"/>
  <c r="J44" i="22" l="1"/>
  <c r="J45" i="22" s="1"/>
  <c r="K11" i="23"/>
  <c r="I54" i="24"/>
  <c r="H54" i="24"/>
  <c r="G54" i="24"/>
  <c r="F54" i="24"/>
  <c r="D54" i="24"/>
  <c r="C54" i="24"/>
  <c r="E53" i="24"/>
  <c r="E52" i="24"/>
  <c r="E51" i="24"/>
  <c r="E50" i="24"/>
  <c r="E49" i="24"/>
  <c r="E48" i="24"/>
  <c r="E47" i="24"/>
  <c r="E46" i="24"/>
  <c r="E45" i="24"/>
  <c r="E44" i="24"/>
  <c r="E43" i="24"/>
  <c r="E41" i="24"/>
  <c r="I38" i="24"/>
  <c r="H38" i="24"/>
  <c r="G38" i="24"/>
  <c r="F38" i="24"/>
  <c r="D38" i="24"/>
  <c r="C38" i="24"/>
  <c r="E37" i="24"/>
  <c r="E36" i="24"/>
  <c r="E35" i="24"/>
  <c r="E34" i="24"/>
  <c r="E33" i="24"/>
  <c r="E31" i="24"/>
  <c r="E27" i="24"/>
  <c r="E26" i="24"/>
  <c r="E25" i="24"/>
  <c r="E24" i="24"/>
  <c r="E23" i="24"/>
  <c r="E22" i="24"/>
  <c r="E21" i="24"/>
  <c r="H20" i="24"/>
  <c r="G20" i="24"/>
  <c r="F20" i="24"/>
  <c r="D20" i="24"/>
  <c r="C20" i="24"/>
  <c r="E17" i="24"/>
  <c r="E16" i="24"/>
  <c r="E15" i="24"/>
  <c r="E14" i="24"/>
  <c r="E13" i="24"/>
  <c r="E12" i="24"/>
  <c r="E10" i="24"/>
  <c r="E9" i="24"/>
  <c r="E8" i="24"/>
  <c r="E7" i="24"/>
  <c r="E5" i="24"/>
  <c r="H4" i="24"/>
  <c r="G4" i="24"/>
  <c r="F4" i="24"/>
  <c r="D4" i="24"/>
  <c r="C4" i="24"/>
  <c r="C1" i="24"/>
  <c r="G31" i="23"/>
  <c r="F31" i="23"/>
  <c r="E31" i="23"/>
  <c r="D31" i="23"/>
  <c r="C31" i="23"/>
  <c r="H24" i="23"/>
  <c r="G24" i="23"/>
  <c r="F24" i="23"/>
  <c r="E24" i="23"/>
  <c r="D24" i="23"/>
  <c r="C24" i="23"/>
  <c r="H11" i="23"/>
  <c r="G11" i="23"/>
  <c r="F11" i="23"/>
  <c r="E11" i="23"/>
  <c r="D11" i="23"/>
  <c r="C11" i="23"/>
  <c r="C1" i="23"/>
  <c r="L11" i="23" l="1"/>
  <c r="E4" i="24"/>
  <c r="E38" i="24"/>
  <c r="E54" i="24"/>
  <c r="E20" i="24"/>
  <c r="D21" i="23"/>
  <c r="G21" i="23"/>
  <c r="C36" i="23"/>
  <c r="C40" i="23" s="1"/>
  <c r="F36" i="23"/>
  <c r="F40" i="23" s="1"/>
  <c r="E21" i="23"/>
  <c r="D36" i="23"/>
  <c r="D40" i="23" s="1"/>
  <c r="G36" i="23"/>
  <c r="G40" i="23" s="1"/>
  <c r="C21" i="23"/>
  <c r="F21" i="23"/>
  <c r="E36" i="23"/>
  <c r="E40" i="23" s="1"/>
  <c r="M11" i="23" l="1"/>
  <c r="F41" i="23"/>
  <c r="D41" i="23"/>
  <c r="G41" i="23"/>
  <c r="C41" i="23"/>
  <c r="E41" i="23"/>
  <c r="E31" i="22"/>
  <c r="E28" i="22"/>
  <c r="E25" i="22"/>
  <c r="E24" i="22"/>
  <c r="E22" i="22"/>
  <c r="E21" i="22"/>
  <c r="E14" i="22"/>
  <c r="E13" i="22"/>
  <c r="E11" i="22"/>
  <c r="E10" i="22"/>
  <c r="E9" i="22"/>
  <c r="E2" i="22"/>
  <c r="E4" i="22" s="1"/>
  <c r="I15" i="22"/>
  <c r="H15" i="22"/>
  <c r="G15" i="22"/>
  <c r="F15" i="22"/>
  <c r="D15" i="22"/>
  <c r="C15" i="22"/>
  <c r="I4" i="22"/>
  <c r="H4" i="22"/>
  <c r="G4" i="22"/>
  <c r="F4" i="22"/>
  <c r="D4" i="22"/>
  <c r="C4" i="22"/>
  <c r="C1" i="22"/>
  <c r="N11" i="23" l="1"/>
  <c r="C17" i="22"/>
  <c r="C18" i="22" s="1"/>
  <c r="C19" i="22" s="1"/>
  <c r="E15" i="22"/>
  <c r="E17" i="22" s="1"/>
  <c r="E18" i="22" s="1"/>
  <c r="E19" i="22" s="1"/>
  <c r="D17" i="22"/>
  <c r="D18" i="22" s="1"/>
  <c r="D19" i="22" s="1"/>
  <c r="G17" i="22"/>
  <c r="G18" i="22" s="1"/>
  <c r="G19" i="22" s="1"/>
  <c r="G44" i="22" s="1"/>
  <c r="G45" i="22" s="1"/>
  <c r="F17" i="22"/>
  <c r="F18" i="22" s="1"/>
  <c r="F19" i="22" s="1"/>
  <c r="I17" i="22"/>
  <c r="I18" i="22" s="1"/>
  <c r="I19" i="22" s="1"/>
  <c r="H17" i="22"/>
  <c r="H18" i="22" s="1"/>
  <c r="H19" i="22" s="1"/>
  <c r="H44" i="22" l="1"/>
  <c r="H45" i="22" s="1"/>
  <c r="I44" i="22"/>
  <c r="I45" i="22" s="1"/>
  <c r="F44" i="22"/>
  <c r="F45" i="22" s="1"/>
  <c r="H26" i="22"/>
  <c r="H29" i="22" s="1"/>
  <c r="H2" i="24" s="1"/>
  <c r="H18" i="24" s="1"/>
  <c r="H28" i="24" s="1"/>
  <c r="H62" i="24" s="1"/>
  <c r="H63" i="24" s="1"/>
  <c r="D26" i="22"/>
  <c r="D29" i="22" s="1"/>
  <c r="D2" i="24" s="1"/>
  <c r="D18" i="24" s="1"/>
  <c r="D28" i="24" s="1"/>
  <c r="F26" i="22"/>
  <c r="F29" i="22" s="1"/>
  <c r="F2" i="24" s="1"/>
  <c r="F18" i="24" s="1"/>
  <c r="F28" i="24" s="1"/>
  <c r="F56" i="24" s="1"/>
  <c r="C26" i="22"/>
  <c r="C29" i="22" s="1"/>
  <c r="C2" i="24" s="1"/>
  <c r="C18" i="24" s="1"/>
  <c r="C28" i="24" s="1"/>
  <c r="C56" i="24" s="1"/>
  <c r="C59" i="24" s="1"/>
  <c r="D58" i="24" s="1"/>
  <c r="G26" i="22"/>
  <c r="G29" i="22" s="1"/>
  <c r="G2" i="24" s="1"/>
  <c r="G18" i="24" s="1"/>
  <c r="G28" i="24" s="1"/>
  <c r="O11" i="23"/>
  <c r="F32" i="22" l="1"/>
  <c r="G32" i="22"/>
  <c r="H32" i="22"/>
  <c r="H35" i="22" s="1"/>
  <c r="H56" i="24"/>
  <c r="C32" i="22"/>
  <c r="D32" i="22"/>
  <c r="C62" i="24"/>
  <c r="C63" i="24" s="1"/>
  <c r="F62" i="24"/>
  <c r="F63" i="24" s="1"/>
  <c r="P11" i="23"/>
  <c r="D56" i="24"/>
  <c r="D59" i="24" s="1"/>
  <c r="D62" i="24"/>
  <c r="D63" i="24" s="1"/>
  <c r="G62" i="24"/>
  <c r="G56" i="24"/>
  <c r="H36" i="22" l="1"/>
  <c r="F58" i="24"/>
  <c r="F59" i="24" s="1"/>
  <c r="G58" i="24" s="1"/>
  <c r="G59" i="24" s="1"/>
  <c r="H58" i="24" s="1"/>
  <c r="H59" i="24" s="1"/>
  <c r="E58" i="24"/>
  <c r="G63" i="24"/>
  <c r="H19" i="19"/>
  <c r="H18" i="19"/>
  <c r="H17" i="19"/>
  <c r="H16" i="19"/>
  <c r="H15" i="19"/>
  <c r="H14" i="19"/>
  <c r="H13" i="19"/>
  <c r="H12" i="19"/>
  <c r="H11" i="19"/>
  <c r="H10" i="19"/>
  <c r="H9" i="19"/>
  <c r="H8" i="19"/>
  <c r="H7" i="19"/>
  <c r="H6" i="19"/>
  <c r="H5" i="19"/>
  <c r="H4" i="19"/>
  <c r="H3" i="19"/>
  <c r="H2" i="19"/>
  <c r="S24" i="19" l="1"/>
  <c r="S29" i="19" s="1"/>
  <c r="O24" i="19"/>
  <c r="R24" i="19"/>
  <c r="P24" i="19"/>
  <c r="Q24" i="19"/>
  <c r="I58" i="24"/>
  <c r="R29" i="19" l="1"/>
  <c r="Q29" i="19"/>
  <c r="P29" i="19"/>
  <c r="H45" i="23" l="1"/>
  <c r="H31" i="23"/>
  <c r="H36" i="23" s="1"/>
  <c r="K26" i="22" l="1"/>
  <c r="K29" i="22" s="1"/>
  <c r="K2" i="24" s="1"/>
  <c r="K18" i="24" s="1"/>
  <c r="K28" i="24" s="1"/>
  <c r="L26" i="22"/>
  <c r="L29" i="22" s="1"/>
  <c r="M26" i="22"/>
  <c r="M29" i="22" s="1"/>
  <c r="I31" i="23"/>
  <c r="I36" i="23" s="1"/>
  <c r="I45" i="23"/>
  <c r="H46" i="23"/>
  <c r="J45" i="23"/>
  <c r="J31" i="23"/>
  <c r="J36" i="23" s="1"/>
  <c r="J26" i="22"/>
  <c r="J29" i="22" s="1"/>
  <c r="J2" i="24" s="1"/>
  <c r="J18" i="24" s="1"/>
  <c r="J28" i="24" s="1"/>
  <c r="E23" i="22"/>
  <c r="I26" i="22"/>
  <c r="I29" i="22" s="1"/>
  <c r="I2" i="24" s="1"/>
  <c r="I18" i="24" s="1"/>
  <c r="I28" i="24" s="1"/>
  <c r="K46" i="23" l="1"/>
  <c r="I46" i="23"/>
  <c r="L2" i="24"/>
  <c r="L18" i="24" s="1"/>
  <c r="L28" i="24" s="1"/>
  <c r="L62" i="24" s="1"/>
  <c r="L63" i="24" s="1"/>
  <c r="M32" i="22"/>
  <c r="M2" i="24"/>
  <c r="M18" i="24" s="1"/>
  <c r="M28" i="24" s="1"/>
  <c r="I62" i="24"/>
  <c r="I56" i="24"/>
  <c r="I59" i="24" s="1"/>
  <c r="J56" i="24"/>
  <c r="J62" i="24"/>
  <c r="J63" i="24" s="1"/>
  <c r="K62" i="24"/>
  <c r="K63" i="24" s="1"/>
  <c r="L32" i="22"/>
  <c r="J46" i="23"/>
  <c r="J32" i="22"/>
  <c r="J36" i="22" s="1"/>
  <c r="K32" i="22"/>
  <c r="I32" i="22"/>
  <c r="E26" i="22"/>
  <c r="E29" i="22" s="1"/>
  <c r="E2" i="24" s="1"/>
  <c r="E18" i="24" s="1"/>
  <c r="E28" i="24" s="1"/>
  <c r="E56" i="24" s="1"/>
  <c r="E59" i="24" s="1"/>
  <c r="M62" i="24" l="1"/>
  <c r="M63" i="24" s="1"/>
  <c r="M35" i="22"/>
  <c r="M36" i="22"/>
  <c r="J58" i="24"/>
  <c r="J59" i="24" s="1"/>
  <c r="I63" i="24"/>
  <c r="E62" i="24"/>
  <c r="E63" i="24" s="1"/>
  <c r="L35" i="22"/>
  <c r="M54" i="24" s="1"/>
  <c r="M56" i="24" s="1"/>
  <c r="L36" i="22"/>
  <c r="J35" i="22"/>
  <c r="K35" i="22"/>
  <c r="K36" i="22"/>
  <c r="I35" i="22"/>
  <c r="I36" i="22"/>
  <c r="E36" i="22" s="1"/>
  <c r="E32" i="22"/>
  <c r="H40" i="23"/>
  <c r="N54" i="24" l="1"/>
  <c r="N56" i="24" s="1"/>
  <c r="L54" i="24"/>
  <c r="L56" i="24" s="1"/>
  <c r="K58" i="24"/>
  <c r="K54" i="24"/>
  <c r="K56" i="24" s="1"/>
  <c r="E35" i="22"/>
  <c r="M40" i="23" l="1"/>
  <c r="K59" i="24"/>
  <c r="H47" i="23"/>
  <c r="H21" i="23"/>
  <c r="H41" i="23" s="1"/>
  <c r="N40" i="23" l="1"/>
  <c r="L58" i="24"/>
  <c r="L59" i="24" s="1"/>
  <c r="I47" i="23"/>
  <c r="I40" i="23"/>
  <c r="O40" i="23" l="1"/>
  <c r="M58" i="24"/>
  <c r="M59" i="24" s="1"/>
  <c r="J40" i="23"/>
  <c r="I21" i="23"/>
  <c r="I41" i="23" s="1"/>
  <c r="P40" i="23" l="1"/>
  <c r="L47" i="23"/>
  <c r="N58" i="24"/>
  <c r="N59" i="24" s="1"/>
  <c r="K40" i="23"/>
  <c r="L40" i="23"/>
  <c r="J47" i="23"/>
  <c r="J21" i="23"/>
  <c r="J41" i="23" s="1"/>
  <c r="K47" i="23"/>
  <c r="K21" i="23"/>
  <c r="Q40" i="23" l="1"/>
  <c r="O58" i="24"/>
  <c r="O59" i="24" s="1"/>
  <c r="L21" i="23"/>
  <c r="L41" i="23" s="1"/>
  <c r="K41" i="23"/>
  <c r="R40" i="23" l="1"/>
  <c r="M21" i="23"/>
  <c r="M41" i="23" s="1"/>
  <c r="M47" i="23"/>
  <c r="P58" i="24"/>
  <c r="P59" i="24" s="1"/>
  <c r="T40" i="23" l="1"/>
  <c r="S40" i="23"/>
  <c r="N21" i="23"/>
  <c r="N41" i="23" s="1"/>
  <c r="N47" i="23"/>
  <c r="Q59" i="24"/>
  <c r="P21" i="23" l="1"/>
  <c r="P41" i="23" s="1"/>
  <c r="R58" i="24"/>
  <c r="R59" i="24" s="1"/>
  <c r="O21" i="23"/>
  <c r="O41" i="23" s="1"/>
  <c r="O47" i="23"/>
  <c r="P47" i="23" l="1"/>
  <c r="N7" i="19"/>
  <c r="S58" i="24"/>
  <c r="S59" i="24" s="1"/>
  <c r="R2" i="23" l="1"/>
  <c r="T58" i="24"/>
  <c r="T59" i="24" s="1"/>
  <c r="Q21" i="23"/>
  <c r="Q41" i="23" s="1"/>
  <c r="Q47" i="23"/>
  <c r="F34" i="19"/>
  <c r="D34" i="19"/>
  <c r="E34" i="19"/>
  <c r="C34" i="19"/>
  <c r="O7" i="19" l="1"/>
  <c r="I24" i="19"/>
  <c r="J24" i="19" s="1"/>
  <c r="I23" i="19"/>
  <c r="J23" i="19" s="1"/>
  <c r="I22" i="19"/>
  <c r="J22" i="19" s="1"/>
  <c r="I21" i="19"/>
  <c r="J21" i="19" s="1"/>
  <c r="R21" i="23"/>
  <c r="R41" i="23" s="1"/>
  <c r="R47" i="23"/>
  <c r="S3" i="23"/>
  <c r="S2" i="23" s="1"/>
  <c r="U58" i="24"/>
  <c r="U59" i="24" s="1"/>
  <c r="I20" i="19"/>
  <c r="J20" i="19" s="1"/>
  <c r="I16" i="19"/>
  <c r="J16" i="19" s="1"/>
  <c r="I6" i="19"/>
  <c r="J6" i="19" s="1"/>
  <c r="I2" i="19"/>
  <c r="I4" i="19"/>
  <c r="J4" i="19" s="1"/>
  <c r="I10" i="19"/>
  <c r="J10" i="19" s="1"/>
  <c r="I14" i="19"/>
  <c r="J14" i="19" s="1"/>
  <c r="I8" i="19"/>
  <c r="J8" i="19" s="1"/>
  <c r="I19" i="19"/>
  <c r="J19" i="19" s="1"/>
  <c r="I18" i="19"/>
  <c r="J18" i="19" s="1"/>
  <c r="I13" i="19"/>
  <c r="J13" i="19" s="1"/>
  <c r="I5" i="19"/>
  <c r="J5" i="19" s="1"/>
  <c r="I7" i="19"/>
  <c r="J7" i="19" s="1"/>
  <c r="I12" i="19"/>
  <c r="J12" i="19" s="1"/>
  <c r="I11" i="19"/>
  <c r="J11" i="19" s="1"/>
  <c r="I3" i="19"/>
  <c r="J3" i="19" s="1"/>
  <c r="I9" i="19"/>
  <c r="J9" i="19" s="1"/>
  <c r="I15" i="19"/>
  <c r="J15" i="19" s="1"/>
  <c r="I17" i="19"/>
  <c r="J17" i="19" s="1"/>
  <c r="T3" i="23" l="1"/>
  <c r="T2" i="23" s="1"/>
  <c r="V58" i="24"/>
  <c r="V59" i="24" s="1"/>
  <c r="P7" i="19"/>
  <c r="J2" i="19"/>
  <c r="N12" i="19"/>
  <c r="N16" i="19" s="1"/>
  <c r="N18" i="19" s="1"/>
  <c r="S21" i="23"/>
  <c r="S41" i="23" s="1"/>
  <c r="S47" i="23"/>
  <c r="U3" i="23" l="1"/>
  <c r="U2" i="23" s="1"/>
  <c r="W58" i="24"/>
  <c r="W59" i="24" s="1"/>
  <c r="V3" i="23" s="1"/>
  <c r="R5" i="19"/>
  <c r="S5" i="19"/>
  <c r="T21" i="23"/>
  <c r="T41" i="23" s="1"/>
  <c r="T47" i="23"/>
  <c r="R7" i="19"/>
  <c r="U47" i="23"/>
  <c r="U21" i="23"/>
  <c r="U41" i="23" s="1"/>
  <c r="Q7" i="19"/>
  <c r="Q33" i="19" s="1"/>
  <c r="Q39" i="19" s="1"/>
  <c r="Q5" i="19"/>
  <c r="O22" i="19"/>
  <c r="P5" i="19"/>
  <c r="S7" i="19" l="1"/>
  <c r="S33" i="19" s="1"/>
  <c r="S39" i="19" s="1"/>
  <c r="V2" i="23"/>
  <c r="V21" i="23" s="1"/>
  <c r="V41" i="23" s="1"/>
  <c r="V47" i="23"/>
  <c r="S12" i="19"/>
  <c r="S16" i="19" s="1"/>
  <c r="S18" i="19" s="1"/>
  <c r="S22" i="19"/>
  <c r="R12" i="19"/>
  <c r="R16" i="19" s="1"/>
  <c r="R18" i="19" s="1"/>
  <c r="Q12" i="19"/>
  <c r="Q16" i="19" s="1"/>
  <c r="Q18" i="19" s="1"/>
  <c r="R22" i="19"/>
  <c r="P22" i="19"/>
  <c r="Q22" i="19"/>
  <c r="P12" i="19"/>
  <c r="P16" i="19" s="1"/>
  <c r="P18" i="19" s="1"/>
  <c r="O12" i="19"/>
  <c r="O16" i="19" s="1"/>
  <c r="O18" i="19" s="1"/>
</calcChain>
</file>

<file path=xl/comments1.xml><?xml version="1.0" encoding="utf-8"?>
<comments xmlns="http://schemas.openxmlformats.org/spreadsheetml/2006/main">
  <authors>
    <author>Full name</author>
  </authors>
  <commentList>
    <comment ref="S31" authorId="0">
      <text>
        <r>
          <rPr>
            <b/>
            <sz val="9"/>
            <color indexed="81"/>
            <rFont val="Tahoma"/>
            <family val="2"/>
          </rPr>
          <t>Next Twelve Months</t>
        </r>
      </text>
    </comment>
    <comment ref="B41" authorId="0">
      <text>
        <r>
          <rPr>
            <b/>
            <sz val="9"/>
            <color indexed="81"/>
            <rFont val="Tahoma"/>
            <family val="2"/>
          </rPr>
          <t>If it´s Tsuneishi Cebu</t>
        </r>
      </text>
    </comment>
  </commentList>
</comments>
</file>

<file path=xl/comments2.xml><?xml version="1.0" encoding="utf-8"?>
<comments xmlns="http://schemas.openxmlformats.org/spreadsheetml/2006/main">
  <authors>
    <author>Full name</author>
  </authors>
  <commentList>
    <comment ref="O13" authorId="0">
      <text>
        <r>
          <rPr>
            <b/>
            <sz val="9"/>
            <color indexed="81"/>
            <rFont val="Tahoma"/>
            <family val="2"/>
          </rPr>
          <t>DHT Peony</t>
        </r>
      </text>
    </comment>
    <comment ref="P13" authorId="0">
      <text>
        <r>
          <rPr>
            <b/>
            <sz val="9"/>
            <color indexed="81"/>
            <rFont val="Tahoma"/>
            <family val="2"/>
          </rPr>
          <t>DHT Lotus</t>
        </r>
      </text>
    </comment>
    <comment ref="R13" authorId="0">
      <text>
        <r>
          <rPr>
            <b/>
            <sz val="9"/>
            <color indexed="81"/>
            <rFont val="Tahoma"/>
            <family val="2"/>
          </rPr>
          <t>DHT China &amp; DHT Europe</t>
        </r>
      </text>
    </comment>
    <comment ref="T13" authorId="0">
      <text>
        <r>
          <rPr>
            <b/>
            <sz val="9"/>
            <color indexed="81"/>
            <rFont val="Tahoma"/>
            <family val="2"/>
          </rPr>
          <t>DHT Bauhinia</t>
        </r>
      </text>
    </comment>
    <comment ref="T76" authorId="0">
      <text>
        <r>
          <rPr>
            <b/>
            <sz val="9"/>
            <color indexed="81"/>
            <rFont val="Tahoma"/>
            <family val="2"/>
          </rPr>
          <t>Returning to the shipyard for the planned upgrade in the third quarter of 2026</t>
        </r>
      </text>
    </comment>
  </commentList>
</comments>
</file>

<file path=xl/sharedStrings.xml><?xml version="1.0" encoding="utf-8"?>
<sst xmlns="http://schemas.openxmlformats.org/spreadsheetml/2006/main" count="497" uniqueCount="301">
  <si>
    <t>D&amp;A</t>
  </si>
  <si>
    <t>CapEx</t>
  </si>
  <si>
    <t>Levered FCF</t>
  </si>
  <si>
    <t>Check</t>
  </si>
  <si>
    <t>Growth rate YoY %</t>
  </si>
  <si>
    <t>Growth rate YoY%</t>
  </si>
  <si>
    <t>WC as % of RevenuesYoY%</t>
  </si>
  <si>
    <t>Growth WC %</t>
  </si>
  <si>
    <t>Working Capital</t>
  </si>
  <si>
    <t>Shares Outstanding</t>
  </si>
  <si>
    <t>x</t>
  </si>
  <si>
    <t>Q3 2023</t>
  </si>
  <si>
    <t>Q1 2023</t>
  </si>
  <si>
    <t>Q2 2023</t>
  </si>
  <si>
    <t>Q4 2023</t>
  </si>
  <si>
    <t>Current Assets</t>
  </si>
  <si>
    <t>Total Assets</t>
  </si>
  <si>
    <t>Total Liabilities</t>
  </si>
  <si>
    <t>Total Equity and Liabilities</t>
  </si>
  <si>
    <t>Financial Debt</t>
  </si>
  <si>
    <t>Net Financial Debt</t>
  </si>
  <si>
    <t>Investing Cash Flow</t>
  </si>
  <si>
    <t>Financing Cash Flow</t>
  </si>
  <si>
    <t>Change in cash and cash equivalents</t>
  </si>
  <si>
    <t>Cash BoP</t>
  </si>
  <si>
    <t>Cash EoP</t>
  </si>
  <si>
    <t>VLCC</t>
  </si>
  <si>
    <t>Net Asset Value</t>
  </si>
  <si>
    <t>Q4 2024</t>
  </si>
  <si>
    <t>Fleet Value</t>
  </si>
  <si>
    <t>Cash</t>
  </si>
  <si>
    <t>Net Assets</t>
  </si>
  <si>
    <t>Net Asset Value $/sh</t>
  </si>
  <si>
    <t>P / NAV</t>
  </si>
  <si>
    <t>Other income</t>
  </si>
  <si>
    <t>Operating expenses</t>
  </si>
  <si>
    <t>Total operating expenses</t>
  </si>
  <si>
    <t>Income tax expense</t>
  </si>
  <si>
    <t>Non-Current Assets</t>
  </si>
  <si>
    <t>Cash and cash equivalents</t>
  </si>
  <si>
    <t>Goodwill</t>
  </si>
  <si>
    <t>Current liabilities</t>
  </si>
  <si>
    <t>Non-Current Liabilities</t>
  </si>
  <si>
    <t>Long-term debt</t>
  </si>
  <si>
    <t>Changes in operating assets and liabilities:</t>
  </si>
  <si>
    <t>Other current liabilities</t>
  </si>
  <si>
    <t>Proceeds from sale of vessels</t>
  </si>
  <si>
    <t>Cash dividends paid</t>
  </si>
  <si>
    <t>Q1 2024</t>
  </si>
  <si>
    <t>Q2 2024</t>
  </si>
  <si>
    <t>Q3 2024</t>
  </si>
  <si>
    <t>Vessels</t>
  </si>
  <si>
    <t>Scrubbers</t>
  </si>
  <si>
    <t>Vessel</t>
  </si>
  <si>
    <t>Built</t>
  </si>
  <si>
    <t>Ownership</t>
  </si>
  <si>
    <t>DHT Mustang</t>
  </si>
  <si>
    <t>DHT Bronco</t>
  </si>
  <si>
    <t>Spot</t>
  </si>
  <si>
    <t>DHT Colt</t>
  </si>
  <si>
    <t>DHT Stallion</t>
  </si>
  <si>
    <t>DHT Tiger</t>
  </si>
  <si>
    <t>DHT Harrier</t>
  </si>
  <si>
    <t>DHT Osprey</t>
  </si>
  <si>
    <t>DHT Puma</t>
  </si>
  <si>
    <t>DHT Panther</t>
  </si>
  <si>
    <t>DHT Lion</t>
  </si>
  <si>
    <t>DHT Leopard</t>
  </si>
  <si>
    <t>DHT Jaguar</t>
  </si>
  <si>
    <t>DHT Opal</t>
  </si>
  <si>
    <t>DHT Sundarbans</t>
  </si>
  <si>
    <t>DHT Taiga</t>
  </si>
  <si>
    <t>DHT Peony</t>
  </si>
  <si>
    <t>DHT Lotus</t>
  </si>
  <si>
    <t>DHT Amazon</t>
  </si>
  <si>
    <t>DHT Redwood</t>
  </si>
  <si>
    <t>DHT China</t>
  </si>
  <si>
    <t>DHT Europe</t>
  </si>
  <si>
    <t>DHT Bauhinia</t>
  </si>
  <si>
    <t>DHT Scandinavia</t>
  </si>
  <si>
    <t>Scrubber</t>
  </si>
  <si>
    <t>Payments on NB</t>
  </si>
  <si>
    <t>Bunker</t>
  </si>
  <si>
    <t>DHT Appaloosa</t>
  </si>
  <si>
    <t>Shipping Revenues</t>
  </si>
  <si>
    <t>Other revenues</t>
  </si>
  <si>
    <t>Total Revenues</t>
  </si>
  <si>
    <t>Voyage expenses</t>
  </si>
  <si>
    <t>Vessel operating expenses</t>
  </si>
  <si>
    <t>Impairment charges</t>
  </si>
  <si>
    <t>Gain/(loss) sale of vessels</t>
  </si>
  <si>
    <t>G&amp;A</t>
  </si>
  <si>
    <t>Operating (loss)/income</t>
  </si>
  <si>
    <t>Share of profit from associated companies</t>
  </si>
  <si>
    <t>Interest income</t>
  </si>
  <si>
    <t>Interest expense</t>
  </si>
  <si>
    <t>Fair value gain/(loss) on derivative financial liabilities</t>
  </si>
  <si>
    <t>Other financial (expense)/income</t>
  </si>
  <si>
    <t>Profit/(loss) before tax</t>
  </si>
  <si>
    <t>Profit/(loss) after tax</t>
  </si>
  <si>
    <t>Attributable to the owners of parent</t>
  </si>
  <si>
    <t>Basic earnings/(loss) per share</t>
  </si>
  <si>
    <t>Diluted earnings/(loss) per share</t>
  </si>
  <si>
    <t>Weighted average number of shares (basic)</t>
  </si>
  <si>
    <t>Weighted average number of shares (diluted)</t>
  </si>
  <si>
    <t>Accounts receivable and accrued revenues</t>
  </si>
  <si>
    <t>Capitalized voyage expenses</t>
  </si>
  <si>
    <t>Prepaid expenses</t>
  </si>
  <si>
    <t>Derivative financial assets</t>
  </si>
  <si>
    <t>Bunker inventory</t>
  </si>
  <si>
    <t>Advances for vessel upgrades</t>
  </si>
  <si>
    <t>Other PPE</t>
  </si>
  <si>
    <t>Investment in associate company</t>
  </si>
  <si>
    <t>Accounts payable and accrued expenses</t>
  </si>
  <si>
    <t>Derivative financial liabilities</t>
  </si>
  <si>
    <t>Current portion long-term debt</t>
  </si>
  <si>
    <t>Deferred shipping revenues</t>
  </si>
  <si>
    <t>Other non-current liabilities</t>
  </si>
  <si>
    <t>Amortization of upfront fees</t>
  </si>
  <si>
    <t>Amortization of deferred debt issuance cost</t>
  </si>
  <si>
    <t>(Gain)/loss, disposal of PPE</t>
  </si>
  <si>
    <t>(Gain)/loss, disposal of vessel</t>
  </si>
  <si>
    <t>Fair value (gain)/loss on derivative financial instruments</t>
  </si>
  <si>
    <t>Impairment of equity accounted investment</t>
  </si>
  <si>
    <t>Compensation related to options and restricted stock</t>
  </si>
  <si>
    <t>Net foreign exchange differences</t>
  </si>
  <si>
    <t>(Gain)/loss modification of debt</t>
  </si>
  <si>
    <t>Share of profit in associated companies</t>
  </si>
  <si>
    <t>Income adjusted for non-cash items</t>
  </si>
  <si>
    <t>Pension liability</t>
  </si>
  <si>
    <t>Net Cash provided by operating activities</t>
  </si>
  <si>
    <t>Investment in vessels</t>
  </si>
  <si>
    <t>Investment in subsidiaries</t>
  </si>
  <si>
    <t>Acquisition of subsidiary, net of cash paid</t>
  </si>
  <si>
    <t>Dividend received from associated company</t>
  </si>
  <si>
    <t>Investment in other PPE</t>
  </si>
  <si>
    <t>Dividends paid to non-controlling interest</t>
  </si>
  <si>
    <t>Repayment principal element of lease liability</t>
  </si>
  <si>
    <t>Issuance of long-term debt</t>
  </si>
  <si>
    <t>Purchase of treasury shares</t>
  </si>
  <si>
    <t>Issuance of convertible bonds</t>
  </si>
  <si>
    <t>Proceeds from sale of derivatives</t>
  </si>
  <si>
    <t>Scheduled repayment of long-term debt</t>
  </si>
  <si>
    <t>Prepayment of long-term debt</t>
  </si>
  <si>
    <t>Repayment of long-term debt refinancing</t>
  </si>
  <si>
    <t>Repayment of long-term debt, sale of vessels</t>
  </si>
  <si>
    <t>Repayment of convertible bonds</t>
  </si>
  <si>
    <t>Net foreign exchange difference</t>
  </si>
  <si>
    <t>DHT (Thousands $)</t>
  </si>
  <si>
    <t>Attributable to owners of non-controlling interest</t>
  </si>
  <si>
    <t>UnLevered FCF</t>
  </si>
  <si>
    <t>ECO</t>
  </si>
  <si>
    <t>Operating Days</t>
  </si>
  <si>
    <t>SCRUBBER</t>
  </si>
  <si>
    <t>Más DIVI</t>
  </si>
  <si>
    <t>Advances for vessels under construction</t>
  </si>
  <si>
    <t>Investment in vessels under construction</t>
  </si>
  <si>
    <t>Q1 2025</t>
  </si>
  <si>
    <t>Q2 2025</t>
  </si>
  <si>
    <t>Q3 2025</t>
  </si>
  <si>
    <t>Q4 2025</t>
  </si>
  <si>
    <t>EBITDA</t>
  </si>
  <si>
    <t>Asjusted Fleet Value</t>
  </si>
  <si>
    <t>Market Value</t>
  </si>
  <si>
    <t>EV</t>
  </si>
  <si>
    <t>Inventories</t>
  </si>
  <si>
    <t>Assets held for sale</t>
  </si>
  <si>
    <t>Adjusted EBITDA</t>
  </si>
  <si>
    <t>Acquisition of non-controlling interest</t>
  </si>
  <si>
    <t>Q1 2026</t>
  </si>
  <si>
    <t>Q2 2026</t>
  </si>
  <si>
    <t>Q3 2026</t>
  </si>
  <si>
    <t>Q4 2026</t>
  </si>
  <si>
    <t>Capitalized interest</t>
  </si>
  <si>
    <t>Sold</t>
  </si>
  <si>
    <t>Fleet</t>
  </si>
  <si>
    <t>% Fleet with scrubber</t>
  </si>
  <si>
    <t>FY 2026</t>
  </si>
  <si>
    <t>Price:</t>
  </si>
  <si>
    <t>Value Growth in %</t>
  </si>
  <si>
    <t xml:space="preserve">Adjusted fleet value: </t>
  </si>
  <si>
    <t>How many scrubbers are installed in the vessels, reported by the company.</t>
  </si>
  <si>
    <t>How many vessels has the company</t>
  </si>
  <si>
    <t>As it titles says, % fleet with scrubber</t>
  </si>
  <si>
    <t>TCE:</t>
  </si>
  <si>
    <t>Time Charter Equivalent, based in data reported by the company or own assumptions</t>
  </si>
  <si>
    <t>Financial data:</t>
  </si>
  <si>
    <t>DISCLAIMER</t>
  </si>
  <si>
    <t>Fleet colours by status:</t>
  </si>
  <si>
    <t>No color:</t>
  </si>
  <si>
    <t>Pink:</t>
  </si>
  <si>
    <t>Orange:</t>
  </si>
  <si>
    <t>Sold vessel reported by the company</t>
  </si>
  <si>
    <t>In the fleet list</t>
  </si>
  <si>
    <t>Linear Estimation:</t>
  </si>
  <si>
    <t xml:space="preserve">In green: </t>
  </si>
  <si>
    <t>In blue:</t>
  </si>
  <si>
    <t>Our own assumption</t>
  </si>
  <si>
    <t>The financial models and projections provided herein are based on internal assumptions, historical data, and current market trends (such as charter rates, fuel costs, and vessel valuations) which are subject to high volatility and change without notice.</t>
  </si>
  <si>
    <t>These models are intended for illustrative and informational purposes only. They do not constitute financial, investment, or legal advice. While we strive for accuracy, we make no guarantees regarding the future performance of any asset or the realization of the projected returns.</t>
  </si>
  <si>
    <t>Data copied from last quarter or reported by company</t>
  </si>
  <si>
    <t>In black:</t>
  </si>
  <si>
    <t>Automatically filled</t>
  </si>
  <si>
    <t>Balance from company reports</t>
  </si>
  <si>
    <t>P&amp;L from company reports</t>
  </si>
  <si>
    <t>Cash Flow from company reports</t>
  </si>
  <si>
    <t>Fleet list:</t>
  </si>
  <si>
    <t>Don´t remove or change this data. It´s to automatically calculate vessels value from the Master</t>
  </si>
  <si>
    <t>In yellow</t>
  </si>
  <si>
    <t>Copyright:</t>
  </si>
  <si>
    <t>DHT Nokota</t>
  </si>
  <si>
    <t>DHT Antelope</t>
  </si>
  <si>
    <t>DHT Addax</t>
  </si>
  <si>
    <t>DHT Gazelle</t>
  </si>
  <si>
    <t>DHT Impala</t>
  </si>
  <si>
    <t>Yard</t>
  </si>
  <si>
    <t>EV/Adj. EBITDA</t>
  </si>
  <si>
    <t>Adj. EBITDA</t>
  </si>
  <si>
    <t>FCF</t>
  </si>
  <si>
    <t>P/FCF</t>
  </si>
  <si>
    <t>Adjusted Profit after tax</t>
  </si>
  <si>
    <t>Diluted Adj. EPS</t>
  </si>
  <si>
    <t>Adjusted P/E</t>
  </si>
  <si>
    <t>Hyundai</t>
  </si>
  <si>
    <t>Daewoo</t>
  </si>
  <si>
    <t>Hanwha</t>
  </si>
  <si>
    <t>Country</t>
  </si>
  <si>
    <t>S. Korea</t>
  </si>
  <si>
    <t>Korea</t>
  </si>
  <si>
    <t>Japan</t>
  </si>
  <si>
    <t>Neutral</t>
  </si>
  <si>
    <t>% Fleet with scrubber:</t>
  </si>
  <si>
    <t>Fleet :</t>
  </si>
  <si>
    <t>Scrubbers:</t>
  </si>
  <si>
    <t>Value growth in %:</t>
  </si>
  <si>
    <t>NAV calculation:</t>
  </si>
  <si>
    <t>Net Asset Value calculation</t>
  </si>
  <si>
    <t>Price to update:</t>
  </si>
  <si>
    <t>Market Cap, Enterprise Value, Adjusted Earnings, Adjusted EBITDA, Levered FCF, Adjusted P/E, Adjusted EV/EBITDA and P/FCF</t>
  </si>
  <si>
    <t>Dividend</t>
  </si>
  <si>
    <t>Dividend Yield</t>
  </si>
  <si>
    <t>Q1 2027</t>
  </si>
  <si>
    <t>NTM</t>
  </si>
  <si>
    <t>% Spot</t>
  </si>
  <si>
    <t>*in millions USD, except multiples</t>
  </si>
  <si>
    <t>Scrub.</t>
  </si>
  <si>
    <t>Operating days:</t>
  </si>
  <si>
    <t>You can change it on your own</t>
  </si>
  <si>
    <t>TCE revenue per vessel</t>
  </si>
  <si>
    <t>TCE revenue per vessel:</t>
  </si>
  <si>
    <t>Operating days x TCE assumption</t>
  </si>
  <si>
    <t>Debt</t>
  </si>
  <si>
    <t>Debt:</t>
  </si>
  <si>
    <t xml:space="preserve">Working Capital: </t>
  </si>
  <si>
    <t>Working Capital calculation</t>
  </si>
  <si>
    <t xml:space="preserve">CapEx: </t>
  </si>
  <si>
    <t>CapEx Assumption that you can change on your own</t>
  </si>
  <si>
    <t>We keep forward "Working Capital" like last quarter</t>
  </si>
  <si>
    <t>Levered and Unlevered FCF calculation</t>
  </si>
  <si>
    <t>Yellow cells can be changed to make assumptions</t>
  </si>
  <si>
    <t>CASH FLOW Tab Content</t>
  </si>
  <si>
    <t xml:space="preserve">BALANCE Tab Content </t>
  </si>
  <si>
    <t>P&amp;L Tab Content</t>
  </si>
  <si>
    <t>NAV Tab Content</t>
  </si>
  <si>
    <t>Phillippines</t>
  </si>
  <si>
    <t>Premium</t>
  </si>
  <si>
    <t>Premium by Country:</t>
  </si>
  <si>
    <t>TCE VLCC</t>
  </si>
  <si>
    <t>Type</t>
  </si>
  <si>
    <t>Newbuilding</t>
  </si>
  <si>
    <t>Age</t>
  </si>
  <si>
    <t>Value</t>
  </si>
  <si>
    <t>DHT Oryx</t>
  </si>
  <si>
    <t>Items included in net income not affecting cash flows</t>
  </si>
  <si>
    <t>Ourios Analytics</t>
  </si>
  <si>
    <t>ourios.com</t>
  </si>
  <si>
    <t>info@ourios.com</t>
  </si>
  <si>
    <t>COPYRIGHT</t>
  </si>
  <si>
    <t>This Excel model and its contents are the exclusive property of Ourios Analytics. No part of this file may be reproduced, distributed, transmitted, or shared in any form or by any means, without the prior written permission of Ourios Analytics.</t>
  </si>
  <si>
    <r>
      <t xml:space="preserve">Authorized use must strictly include a clear citation of the source: </t>
    </r>
    <r>
      <rPr>
        <b/>
        <sz val="11"/>
        <color theme="1"/>
        <rFont val="Calibri"/>
        <family val="2"/>
        <scheme val="minor"/>
      </rPr>
      <t>"Source: Ourios Analytics"</t>
    </r>
    <r>
      <rPr>
        <sz val="11"/>
        <color theme="1"/>
        <rFont val="Calibri"/>
        <family val="2"/>
        <scheme val="minor"/>
      </rPr>
      <t>.</t>
    </r>
  </si>
  <si>
    <t>COLORS USED IN FINANCIAL DATA</t>
  </si>
  <si>
    <t>Vessel name, type of vessel, year built, Yard, Country, scrubber, neutral value and corrected value by premium coefficient</t>
  </si>
  <si>
    <t>Share price, that it´s update from Valuations_Master</t>
  </si>
  <si>
    <t>Change this coefficient if you think the value is going up or down. Default we leave it in 1.</t>
  </si>
  <si>
    <t>Change in % between quarters</t>
  </si>
  <si>
    <t>Coefficient added by premium:</t>
  </si>
  <si>
    <t>Correction factor depending on the country of construction or others</t>
  </si>
  <si>
    <t>Newbuilding or acquired vessel reported by the company</t>
  </si>
  <si>
    <t>Blue:</t>
  </si>
  <si>
    <t>Chartered-in or Bareboat-in</t>
  </si>
  <si>
    <t>Remember: If you want to make assumptions, just change yellow cells</t>
  </si>
  <si>
    <t>Notes:</t>
  </si>
  <si>
    <t>Estimating revenues are from TCE and operating days. For that reason, voyage expenses use to be in grey background. We prepare the TCE revenues looking at what the company say about it.</t>
  </si>
  <si>
    <t>Debt - Cash and cash equivalents</t>
  </si>
  <si>
    <t>To calculate debt, we join current and long term debt. We take into account what the company says and when not, we subtract a quarter of the short-term debt, to make an estimation</t>
  </si>
  <si>
    <t>We calculate CapEx from company reports and, if not available, we make our own assumption. You can change it on your own</t>
  </si>
  <si>
    <t>-</t>
  </si>
  <si>
    <t>DHT Holdings, Inc.</t>
  </si>
  <si>
    <t>DHT</t>
  </si>
  <si>
    <t>Total Equity</t>
  </si>
  <si>
    <t>Q2 2027</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</si>
</sst>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64" formatCode="#,##0;\(#,##0\);&quot;-&quot;"/>
    <numFmt numFmtId="165" formatCode="#,##0.00;\(#,##0.00\);&quot;-&quot;"/>
    <numFmt numFmtId="166" formatCode="0.0%"/>
    <numFmt numFmtId="167" formatCode="#,##0.0;\(#,##0.0\);&quot;-&quot;"/>
    <numFmt numFmtId="168" formatCode="0.0"/>
    <numFmt numFmtId="169" formatCode="0.00_);\(0.00\)"/>
    <numFmt numFmtId="170" formatCode="_-* #,##0.00_-;\-* #,##0.00_-;_-* &quot;-&quot;??_-;_-@_-"/>
    <numFmt numFmtId="171" formatCode="_ * #,##0.00_ ;_ * \-#,##0.00_ ;_ * &quot;-&quot;??_ ;_ @_ "/>
    <numFmt numFmtId="172" formatCode="_ &quot;kr.&quot;\ * #,##0.00_ ;_ &quot;kr.&quot;\ * \-#,##0.00_ ;_ &quot;kr.&quot;\ * &quot;-&quot;??_ ;_ @_ "/>
    <numFmt numFmtId="173" formatCode="#,##0.0_);\(#,##0.0\)"/>
    <numFmt numFmtId="174" formatCode="_-* #,##0.00\ &quot;€&quot;_-;\-* #,##0.00\ &quot;€&quot;_-;_-* &quot;-&quot;??\ &quot;€&quot;_-;_-@_-"/>
    <numFmt numFmtId="175" formatCode="_-* #,##0.00\ _€_-;\-* #,##0.00\ _€_-;_-* &quot;-&quot;??\ _€_-;_-@_-"/>
    <numFmt numFmtId="176" formatCode="0.00\x"/>
    <numFmt numFmtId="177" formatCode="0.000"/>
  </numFmts>
  <fonts count="2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i/>
      <sz val="9.5"/>
      <color theme="1"/>
      <name val="Calibri"/>
      <family val="2"/>
      <scheme val="minor"/>
    </font>
    <font>
      <b/>
      <sz val="9"/>
      <color indexed="81"/>
      <name val="Tahoma"/>
      <family val="2"/>
    </font>
    <font>
      <sz val="12"/>
      <color theme="1"/>
      <name val="Calibri"/>
      <family val="2"/>
      <scheme val="minor"/>
    </font>
    <font>
      <b/>
      <sz val="9"/>
      <color rgb="FF002060"/>
      <name val="Arial"/>
      <family val="2"/>
      <charset val="204"/>
    </font>
    <font>
      <sz val="8"/>
      <name val="Arial"/>
      <family val="2"/>
    </font>
    <font>
      <sz val="9"/>
      <color theme="1"/>
      <name val="Arial"/>
      <family val="2"/>
      <charset val="204"/>
    </font>
    <font>
      <sz val="11"/>
      <color theme="1"/>
      <name val="Calibri"/>
      <family val="2"/>
      <charset val="204"/>
      <scheme val="minor"/>
    </font>
    <font>
      <sz val="10"/>
      <name val="Tahoma"/>
      <family val="2"/>
    </font>
    <font>
      <sz val="11"/>
      <color rgb="FF00B050"/>
      <name val="Calibri"/>
      <family val="2"/>
      <scheme val="minor"/>
    </font>
    <font>
      <b/>
      <i/>
      <sz val="11"/>
      <color theme="1"/>
      <name val="Calibri"/>
      <family val="2"/>
      <scheme val="minor"/>
    </font>
    <font>
      <u/>
      <sz val="11"/>
      <color theme="10"/>
      <name val="Calibri"/>
      <family val="2"/>
      <scheme val="minor"/>
    </font>
    <font>
      <b/>
      <sz val="11"/>
      <color rgb="FF00B050"/>
      <name val="Calibri"/>
      <family val="2"/>
      <scheme val="minor"/>
    </font>
    <font>
      <sz val="11"/>
      <color rgb="FFFF0000"/>
      <name val="Calibri"/>
      <family val="2"/>
      <scheme val="minor"/>
    </font>
    <font>
      <sz val="11"/>
      <name val="Calibri"/>
      <family val="2"/>
      <scheme val="minor"/>
    </font>
    <font>
      <sz val="11"/>
      <color theme="0"/>
      <name val="Calibri"/>
      <family val="2"/>
      <scheme val="minor"/>
    </font>
    <font>
      <sz val="11"/>
      <color rgb="FF0000FF"/>
      <name val="Calibri"/>
      <family val="2"/>
      <scheme val="minor"/>
    </font>
    <font>
      <sz val="10"/>
      <color theme="1"/>
      <name val="Arial"/>
      <family val="2"/>
    </font>
    <font>
      <b/>
      <sz val="11"/>
      <color rgb="FF0000FF"/>
      <name val="Calibri"/>
      <family val="2"/>
      <scheme val="minor"/>
    </font>
    <font>
      <sz val="10"/>
      <color rgb="FF0000FF"/>
      <name val="Arial"/>
      <family val="2"/>
    </font>
    <font>
      <u/>
      <sz val="11"/>
      <color theme="1"/>
      <name val="Calibri"/>
      <family val="2"/>
      <scheme val="minor"/>
    </font>
    <font>
      <b/>
      <sz val="9"/>
      <color theme="1"/>
      <name val="Calibri"/>
      <family val="2"/>
      <scheme val="minor"/>
    </font>
    <font>
      <b/>
      <sz val="10"/>
      <color theme="0"/>
      <name val="Arial"/>
      <family val="2"/>
    </font>
  </fonts>
  <fills count="13">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theme="0"/>
        <bgColor indexed="64"/>
      </patternFill>
    </fill>
    <fill>
      <patternFill patternType="solid">
        <fgColor theme="0" tint="-0.34998626667073579"/>
        <bgColor indexed="64"/>
      </patternFill>
    </fill>
    <fill>
      <patternFill patternType="solid">
        <fgColor rgb="FFFFCCCC"/>
        <bgColor indexed="64"/>
      </patternFill>
    </fill>
    <fill>
      <patternFill patternType="solid">
        <fgColor rgb="FFFCFA9C"/>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rgb="FFFFFF99"/>
        <bgColor indexed="64"/>
      </patternFill>
    </fill>
    <fill>
      <patternFill patternType="solid">
        <fgColor rgb="FFFFC000"/>
        <bgColor indexed="64"/>
      </patternFill>
    </fill>
  </fills>
  <borders count="34">
    <border>
      <left/>
      <right/>
      <top/>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
        <color rgb="FF002060"/>
      </bottom>
      <diagonal/>
    </border>
    <border>
      <left style="thick">
        <color indexed="64"/>
      </left>
      <right style="thick">
        <color indexed="64"/>
      </right>
      <top style="thick">
        <color indexed="64"/>
      </top>
      <bottom style="thick">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thick">
        <color indexed="64"/>
      </bottom>
      <diagonal/>
    </border>
    <border>
      <left style="thick">
        <color indexed="64"/>
      </left>
      <right style="medium">
        <color indexed="64"/>
      </right>
      <top style="medium">
        <color indexed="64"/>
      </top>
      <bottom style="thick">
        <color indexed="64"/>
      </bottom>
      <diagonal/>
    </border>
    <border>
      <left style="medium">
        <color indexed="64"/>
      </left>
      <right style="thick">
        <color indexed="64"/>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style="medium">
        <color indexed="64"/>
      </left>
      <right style="thick">
        <color indexed="64"/>
      </right>
      <top style="thick">
        <color indexed="64"/>
      </top>
      <bottom/>
      <diagonal/>
    </border>
    <border>
      <left style="medium">
        <color indexed="64"/>
      </left>
      <right/>
      <top/>
      <bottom style="thick">
        <color indexed="64"/>
      </bottom>
      <diagonal/>
    </border>
    <border>
      <left/>
      <right style="medium">
        <color indexed="64"/>
      </right>
      <top/>
      <bottom/>
      <diagonal/>
    </border>
    <border>
      <left style="medium">
        <color indexed="64"/>
      </left>
      <right style="thick">
        <color indexed="64"/>
      </right>
      <top/>
      <bottom style="thick">
        <color indexed="64"/>
      </bottom>
      <diagonal/>
    </border>
    <border>
      <left style="thick">
        <color indexed="64"/>
      </left>
      <right style="medium">
        <color indexed="64"/>
      </right>
      <top style="thick">
        <color indexed="64"/>
      </top>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thick">
        <color indexed="64"/>
      </right>
      <top/>
      <bottom style="medium">
        <color indexed="64"/>
      </bottom>
      <diagonal/>
    </border>
    <border>
      <left style="thick">
        <color indexed="64"/>
      </left>
      <right style="medium">
        <color indexed="64"/>
      </right>
      <top style="thick">
        <color indexed="64"/>
      </top>
      <bottom style="medium">
        <color indexed="64"/>
      </bottom>
      <diagonal/>
    </border>
    <border>
      <left style="thick">
        <color indexed="64"/>
      </left>
      <right style="medium">
        <color indexed="64"/>
      </right>
      <top/>
      <bottom style="thick">
        <color indexed="64"/>
      </bottom>
      <diagonal/>
    </border>
    <border>
      <left style="thin">
        <color theme="0"/>
      </left>
      <right style="thin">
        <color theme="0"/>
      </right>
      <top style="thin">
        <color theme="0"/>
      </top>
      <bottom style="thin">
        <color theme="0"/>
      </bottom>
      <diagonal/>
    </border>
    <border>
      <left style="medium">
        <color indexed="64"/>
      </left>
      <right/>
      <top style="thin">
        <color indexed="64"/>
      </top>
      <bottom style="thin">
        <color indexed="64"/>
      </bottom>
      <diagonal/>
    </border>
  </borders>
  <cellStyleXfs count="28">
    <xf numFmtId="0" fontId="0" fillId="0" borderId="0"/>
    <xf numFmtId="9" fontId="1" fillId="0" borderId="0" applyFont="0" applyFill="0" applyBorder="0" applyAlignment="0" applyProtection="0"/>
    <xf numFmtId="0" fontId="1" fillId="0" borderId="0"/>
    <xf numFmtId="0" fontId="7" fillId="5" borderId="9">
      <alignment horizontal="right"/>
    </xf>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1" fontId="8" fillId="0" borderId="0" applyFont="0" applyFill="0" applyBorder="0" applyAlignment="0" applyProtection="0"/>
    <xf numFmtId="172" fontId="1" fillId="0" borderId="0" applyFont="0" applyFill="0" applyBorder="0" applyAlignment="0" applyProtection="0"/>
    <xf numFmtId="173" fontId="9" fillId="5" borderId="0"/>
    <xf numFmtId="170" fontId="1" fillId="0" borderId="0" applyFont="0" applyFill="0" applyBorder="0" applyAlignment="0" applyProtection="0"/>
    <xf numFmtId="170" fontId="6" fillId="0" borderId="0" applyFont="0" applyFill="0" applyBorder="0" applyAlignment="0" applyProtection="0"/>
    <xf numFmtId="174" fontId="6" fillId="0" borderId="0" applyFont="0" applyFill="0" applyBorder="0" applyAlignment="0" applyProtection="0"/>
    <xf numFmtId="0" fontId="1" fillId="0" borderId="0"/>
    <xf numFmtId="0" fontId="10" fillId="0" borderId="0"/>
    <xf numFmtId="0" fontId="8" fillId="0" borderId="0"/>
    <xf numFmtId="4" fontId="11" fillId="0" borderId="0" applyFill="0" applyBorder="0" applyAlignment="0" applyProtection="0"/>
    <xf numFmtId="0" fontId="1" fillId="0" borderId="0"/>
    <xf numFmtId="9" fontId="8"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175" fontId="1" fillId="0" borderId="0" applyFont="0" applyFill="0" applyBorder="0" applyAlignment="0" applyProtection="0"/>
    <xf numFmtId="0" fontId="14" fillId="0" borderId="0" applyNumberFormat="0" applyFill="0" applyBorder="0" applyAlignment="0" applyProtection="0"/>
    <xf numFmtId="0" fontId="1" fillId="0" borderId="0"/>
  </cellStyleXfs>
  <cellXfs count="176">
    <xf numFmtId="0" fontId="0" fillId="0" borderId="0" xfId="0"/>
    <xf numFmtId="164" fontId="0" fillId="0" borderId="0" xfId="0" applyNumberFormat="1"/>
    <xf numFmtId="37" fontId="2" fillId="2" borderId="0" xfId="0" applyNumberFormat="1" applyFont="1" applyFill="1" applyAlignment="1">
      <alignment horizontal="right"/>
    </xf>
    <xf numFmtId="37" fontId="0" fillId="0" borderId="0" xfId="0" applyNumberFormat="1"/>
    <xf numFmtId="164" fontId="3" fillId="0" borderId="0" xfId="0" applyNumberFormat="1" applyFont="1"/>
    <xf numFmtId="164" fontId="3" fillId="3" borderId="0" xfId="0" applyNumberFormat="1" applyFont="1" applyFill="1"/>
    <xf numFmtId="164" fontId="3" fillId="0" borderId="2" xfId="0" applyNumberFormat="1" applyFont="1" applyBorder="1"/>
    <xf numFmtId="37" fontId="2" fillId="4" borderId="0" xfId="0" applyNumberFormat="1" applyFont="1" applyFill="1" applyAlignment="1">
      <alignment horizontal="left"/>
    </xf>
    <xf numFmtId="37" fontId="2" fillId="4" borderId="0" xfId="0" applyNumberFormat="1" applyFont="1" applyFill="1" applyAlignment="1">
      <alignment horizontal="right"/>
    </xf>
    <xf numFmtId="164" fontId="0" fillId="0" borderId="0" xfId="0" applyNumberFormat="1" applyFont="1"/>
    <xf numFmtId="166" fontId="0" fillId="0" borderId="0" xfId="1" applyNumberFormat="1" applyFont="1"/>
    <xf numFmtId="0" fontId="4" fillId="0" borderId="0" xfId="0" applyFont="1"/>
    <xf numFmtId="0" fontId="0" fillId="0" borderId="0" xfId="0" applyFont="1"/>
    <xf numFmtId="164" fontId="0" fillId="0" borderId="0" xfId="0" applyNumberFormat="1" applyAlignment="1">
      <alignment horizontal="right"/>
    </xf>
    <xf numFmtId="0" fontId="3" fillId="0" borderId="2" xfId="0" applyFont="1" applyBorder="1"/>
    <xf numFmtId="164" fontId="3" fillId="0" borderId="1" xfId="0" applyNumberFormat="1" applyFont="1" applyBorder="1"/>
    <xf numFmtId="0" fontId="3" fillId="0" borderId="1" xfId="0" applyFont="1" applyBorder="1"/>
    <xf numFmtId="0" fontId="0" fillId="0" borderId="0" xfId="0" applyFont="1" applyAlignment="1">
      <alignment horizontal="left" indent="2"/>
    </xf>
    <xf numFmtId="164" fontId="0" fillId="0" borderId="0" xfId="0" applyNumberFormat="1" applyFont="1" applyFill="1" applyBorder="1"/>
    <xf numFmtId="164" fontId="0" fillId="0" borderId="0" xfId="0" applyNumberFormat="1" applyFont="1" applyFill="1" applyBorder="1" applyAlignment="1">
      <alignment horizontal="left" indent="2"/>
    </xf>
    <xf numFmtId="9" fontId="1" fillId="0" borderId="0" xfId="1" applyFont="1" applyFill="1" applyBorder="1"/>
    <xf numFmtId="164" fontId="0" fillId="0" borderId="0" xfId="0" applyNumberFormat="1" applyFill="1" applyAlignment="1">
      <alignment horizontal="left" indent="2"/>
    </xf>
    <xf numFmtId="164" fontId="0" fillId="0" borderId="0" xfId="0" applyNumberFormat="1" applyFill="1"/>
    <xf numFmtId="166" fontId="0" fillId="0" borderId="0" xfId="1" applyNumberFormat="1" applyFont="1" applyFill="1"/>
    <xf numFmtId="167" fontId="0" fillId="0" borderId="0" xfId="0" applyNumberFormat="1"/>
    <xf numFmtId="164" fontId="3" fillId="0" borderId="2" xfId="0" applyNumberFormat="1" applyFont="1" applyFill="1" applyBorder="1"/>
    <xf numFmtId="164" fontId="3" fillId="0" borderId="0" xfId="0" applyNumberFormat="1" applyFont="1" applyFill="1" applyBorder="1"/>
    <xf numFmtId="0" fontId="4" fillId="0" borderId="0" xfId="0" applyFont="1" applyAlignment="1">
      <alignment horizontal="left" indent="2"/>
    </xf>
    <xf numFmtId="164" fontId="0" fillId="0" borderId="0" xfId="0" applyNumberFormat="1" applyBorder="1"/>
    <xf numFmtId="0" fontId="0" fillId="0" borderId="0" xfId="0" applyFill="1"/>
    <xf numFmtId="0" fontId="0" fillId="0" borderId="0" xfId="0" applyAlignment="1">
      <alignment horizontal="center"/>
    </xf>
    <xf numFmtId="0" fontId="0" fillId="0" borderId="0" xfId="0" applyBorder="1"/>
    <xf numFmtId="164" fontId="3" fillId="0" borderId="0" xfId="0" applyNumberFormat="1" applyFont="1" applyFill="1" applyBorder="1" applyAlignment="1">
      <alignment horizontal="left" indent="2"/>
    </xf>
    <xf numFmtId="165" fontId="3" fillId="0" borderId="0" xfId="0" applyNumberFormat="1" applyFont="1" applyFill="1" applyBorder="1"/>
    <xf numFmtId="164" fontId="0" fillId="0" borderId="0" xfId="0" applyNumberFormat="1" applyAlignment="1">
      <alignment horizontal="center"/>
    </xf>
    <xf numFmtId="164" fontId="3" fillId="0" borderId="0" xfId="0" applyNumberFormat="1" applyFont="1" applyFill="1"/>
    <xf numFmtId="0" fontId="0" fillId="0" borderId="0" xfId="0" applyBorder="1" applyAlignment="1">
      <alignment horizontal="center"/>
    </xf>
    <xf numFmtId="0" fontId="3" fillId="0" borderId="0" xfId="0" applyFont="1"/>
    <xf numFmtId="0" fontId="13" fillId="0" borderId="0" xfId="0" applyFont="1"/>
    <xf numFmtId="0" fontId="3" fillId="0" borderId="0" xfId="0" applyFont="1" applyBorder="1"/>
    <xf numFmtId="0" fontId="0" fillId="0" borderId="0" xfId="0" applyAlignment="1">
      <alignment horizontal="left" indent="2"/>
    </xf>
    <xf numFmtId="0" fontId="0" fillId="0" borderId="0" xfId="0" applyAlignment="1">
      <alignment horizontal="left"/>
    </xf>
    <xf numFmtId="0" fontId="0" fillId="0" borderId="0" xfId="0" applyBorder="1" applyAlignment="1">
      <alignment horizontal="left"/>
    </xf>
    <xf numFmtId="0" fontId="0" fillId="0" borderId="0" xfId="0" applyFill="1" applyBorder="1"/>
    <xf numFmtId="164" fontId="12" fillId="6" borderId="0" xfId="0" applyNumberFormat="1" applyFont="1" applyFill="1" applyBorder="1"/>
    <xf numFmtId="164" fontId="0" fillId="2" borderId="0" xfId="0" applyNumberFormat="1" applyFont="1" applyFill="1"/>
    <xf numFmtId="169" fontId="0" fillId="5" borderId="14" xfId="0" applyNumberFormat="1" applyFont="1" applyFill="1" applyBorder="1"/>
    <xf numFmtId="164" fontId="16" fillId="0" borderId="0" xfId="0" applyNumberFormat="1" applyFont="1"/>
    <xf numFmtId="164" fontId="17" fillId="0" borderId="0" xfId="0" applyNumberFormat="1" applyFont="1" applyFill="1" applyBorder="1"/>
    <xf numFmtId="164" fontId="0" fillId="0" borderId="0" xfId="0" applyNumberFormat="1" applyFont="1" applyFill="1"/>
    <xf numFmtId="169" fontId="0" fillId="5" borderId="17" xfId="0" applyNumberFormat="1" applyFont="1" applyFill="1" applyBorder="1"/>
    <xf numFmtId="0" fontId="0" fillId="0" borderId="17" xfId="0" applyBorder="1"/>
    <xf numFmtId="169" fontId="0" fillId="5" borderId="17" xfId="0" quotePrefix="1" applyNumberFormat="1" applyFont="1" applyFill="1" applyBorder="1"/>
    <xf numFmtId="169" fontId="0" fillId="5" borderId="19" xfId="0" applyNumberFormat="1" applyFont="1" applyFill="1" applyBorder="1"/>
    <xf numFmtId="169" fontId="0" fillId="5" borderId="20" xfId="0" applyNumberFormat="1" applyFont="1" applyFill="1" applyBorder="1"/>
    <xf numFmtId="2" fontId="0" fillId="0" borderId="0" xfId="0" applyNumberFormat="1" applyBorder="1"/>
    <xf numFmtId="169" fontId="0" fillId="5" borderId="22" xfId="0" applyNumberFormat="1" applyFont="1" applyFill="1" applyBorder="1"/>
    <xf numFmtId="164" fontId="12" fillId="0" borderId="0" xfId="0" applyNumberFormat="1" applyFont="1"/>
    <xf numFmtId="166" fontId="12" fillId="0" borderId="0" xfId="1" applyNumberFormat="1" applyFont="1" applyFill="1" applyBorder="1"/>
    <xf numFmtId="166" fontId="1" fillId="0" borderId="0" xfId="1" applyNumberFormat="1" applyFont="1" applyFill="1" applyBorder="1"/>
    <xf numFmtId="166" fontId="0" fillId="0" borderId="0" xfId="1" applyNumberFormat="1" applyFont="1" applyFill="1" applyBorder="1"/>
    <xf numFmtId="0" fontId="0" fillId="0" borderId="4" xfId="0" applyBorder="1"/>
    <xf numFmtId="2" fontId="0" fillId="0" borderId="4" xfId="0" applyNumberFormat="1" applyBorder="1"/>
    <xf numFmtId="0" fontId="0" fillId="0" borderId="5" xfId="0" applyBorder="1"/>
    <xf numFmtId="166" fontId="0" fillId="0" borderId="0" xfId="1" applyNumberFormat="1" applyFont="1" applyBorder="1"/>
    <xf numFmtId="0" fontId="3" fillId="0" borderId="25" xfId="0" applyFont="1" applyBorder="1"/>
    <xf numFmtId="169" fontId="3" fillId="0" borderId="25" xfId="0" applyNumberFormat="1" applyFont="1" applyFill="1" applyBorder="1"/>
    <xf numFmtId="166" fontId="0" fillId="0" borderId="21" xfId="1" applyNumberFormat="1" applyFont="1" applyBorder="1"/>
    <xf numFmtId="176" fontId="3" fillId="0" borderId="0" xfId="0" applyNumberFormat="1" applyFont="1" applyBorder="1"/>
    <xf numFmtId="0" fontId="0" fillId="7" borderId="0" xfId="0" applyFill="1"/>
    <xf numFmtId="0" fontId="0" fillId="0" borderId="0" xfId="0" applyFill="1" applyAlignment="1">
      <alignment horizontal="center"/>
    </xf>
    <xf numFmtId="169" fontId="3" fillId="0" borderId="3" xfId="0" applyNumberFormat="1" applyFont="1" applyFill="1" applyBorder="1"/>
    <xf numFmtId="9" fontId="0" fillId="0" borderId="0" xfId="1" applyFont="1" applyBorder="1"/>
    <xf numFmtId="0" fontId="0" fillId="0" borderId="21" xfId="0" applyBorder="1"/>
    <xf numFmtId="0" fontId="3" fillId="0" borderId="6" xfId="0" applyFont="1" applyBorder="1"/>
    <xf numFmtId="0" fontId="0" fillId="0" borderId="7" xfId="0" applyBorder="1"/>
    <xf numFmtId="9" fontId="0" fillId="0" borderId="7" xfId="1" applyFont="1" applyBorder="1"/>
    <xf numFmtId="9" fontId="0" fillId="0" borderId="8" xfId="1" applyFont="1" applyBorder="1"/>
    <xf numFmtId="176" fontId="3" fillId="0" borderId="21" xfId="0" applyNumberFormat="1" applyFont="1" applyBorder="1" applyAlignment="1">
      <alignment horizontal="center"/>
    </xf>
    <xf numFmtId="164" fontId="0" fillId="0" borderId="5" xfId="0" applyNumberFormat="1" applyBorder="1" applyAlignment="1">
      <alignment horizontal="center"/>
    </xf>
    <xf numFmtId="164" fontId="0" fillId="0" borderId="21" xfId="0" applyNumberFormat="1" applyBorder="1" applyAlignment="1">
      <alignment horizontal="center"/>
    </xf>
    <xf numFmtId="9" fontId="0" fillId="0" borderId="0" xfId="0" applyNumberFormat="1" applyAlignment="1">
      <alignment horizontal="center"/>
    </xf>
    <xf numFmtId="14" fontId="0" fillId="0" borderId="0" xfId="0" applyNumberFormat="1" applyAlignment="1">
      <alignment horizontal="center"/>
    </xf>
    <xf numFmtId="168" fontId="0" fillId="0" borderId="0" xfId="0" applyNumberFormat="1" applyAlignment="1">
      <alignment horizontal="center"/>
    </xf>
    <xf numFmtId="2" fontId="0" fillId="0" borderId="0" xfId="0" applyNumberFormat="1" applyAlignment="1">
      <alignment horizontal="center"/>
    </xf>
    <xf numFmtId="14" fontId="0" fillId="0" borderId="0" xfId="0" applyNumberFormat="1" applyFill="1" applyAlignment="1">
      <alignment horizontal="center"/>
    </xf>
    <xf numFmtId="9" fontId="0" fillId="0" borderId="0" xfId="0" applyNumberFormat="1" applyFill="1" applyAlignment="1">
      <alignment horizontal="center"/>
    </xf>
    <xf numFmtId="177" fontId="0" fillId="0" borderId="13" xfId="0" applyNumberFormat="1" applyBorder="1"/>
    <xf numFmtId="177" fontId="0" fillId="0" borderId="12" xfId="0" applyNumberFormat="1" applyBorder="1"/>
    <xf numFmtId="0" fontId="12" fillId="0" borderId="0" xfId="0" applyFont="1"/>
    <xf numFmtId="0" fontId="19" fillId="0" borderId="0" xfId="0" applyFont="1"/>
    <xf numFmtId="0" fontId="20" fillId="0" borderId="0" xfId="0" applyFont="1" applyAlignment="1">
      <alignment vertical="center"/>
    </xf>
    <xf numFmtId="0" fontId="2" fillId="4" borderId="11" xfId="0" applyFont="1" applyFill="1" applyBorder="1"/>
    <xf numFmtId="0" fontId="2" fillId="4" borderId="3" xfId="0" applyFont="1" applyFill="1" applyBorder="1"/>
    <xf numFmtId="0" fontId="2" fillId="4" borderId="25" xfId="0" applyFont="1" applyFill="1" applyBorder="1"/>
    <xf numFmtId="0" fontId="2" fillId="4" borderId="6" xfId="0" applyFont="1" applyFill="1" applyBorder="1"/>
    <xf numFmtId="0" fontId="22" fillId="0" borderId="0" xfId="0" applyFont="1" applyFill="1" applyAlignment="1">
      <alignment vertical="center"/>
    </xf>
    <xf numFmtId="0" fontId="0" fillId="0" borderId="0" xfId="0" applyFont="1" applyFill="1"/>
    <xf numFmtId="0" fontId="23" fillId="0" borderId="0" xfId="0" applyFont="1"/>
    <xf numFmtId="0" fontId="3" fillId="10" borderId="1" xfId="0" applyFont="1" applyFill="1" applyBorder="1"/>
    <xf numFmtId="164" fontId="3" fillId="10" borderId="1" xfId="0" applyNumberFormat="1" applyFont="1" applyFill="1" applyBorder="1"/>
    <xf numFmtId="164" fontId="12" fillId="8" borderId="0" xfId="0" applyNumberFormat="1" applyFont="1" applyFill="1"/>
    <xf numFmtId="164" fontId="12" fillId="8" borderId="0" xfId="0" applyNumberFormat="1" applyFont="1" applyFill="1" applyBorder="1"/>
    <xf numFmtId="164" fontId="0" fillId="8" borderId="0" xfId="0" applyNumberFormat="1" applyFill="1"/>
    <xf numFmtId="164" fontId="0" fillId="8" borderId="0" xfId="0" applyNumberFormat="1" applyFont="1" applyFill="1"/>
    <xf numFmtId="164" fontId="2" fillId="4" borderId="0" xfId="0" applyNumberFormat="1" applyFont="1" applyFill="1"/>
    <xf numFmtId="164" fontId="18" fillId="4" borderId="0" xfId="0" applyNumberFormat="1" applyFont="1" applyFill="1"/>
    <xf numFmtId="164" fontId="2" fillId="4" borderId="0" xfId="0" applyNumberFormat="1" applyFont="1" applyFill="1" applyAlignment="1">
      <alignment horizontal="center"/>
    </xf>
    <xf numFmtId="0" fontId="3" fillId="0" borderId="3" xfId="0" applyFont="1" applyBorder="1"/>
    <xf numFmtId="0" fontId="0" fillId="0" borderId="25" xfId="0" applyBorder="1"/>
    <xf numFmtId="0" fontId="14" fillId="0" borderId="25" xfId="26" applyBorder="1"/>
    <xf numFmtId="0" fontId="0" fillId="0" borderId="6" xfId="0" applyBorder="1"/>
    <xf numFmtId="0" fontId="0" fillId="0" borderId="8" xfId="0" applyBorder="1"/>
    <xf numFmtId="164" fontId="0" fillId="0" borderId="0" xfId="0" applyNumberFormat="1" applyBorder="1" applyAlignment="1">
      <alignment horizontal="center"/>
    </xf>
    <xf numFmtId="176" fontId="3" fillId="0" borderId="0" xfId="0" applyNumberFormat="1" applyFont="1" applyBorder="1" applyAlignment="1">
      <alignment horizontal="center"/>
    </xf>
    <xf numFmtId="165" fontId="3" fillId="10" borderId="1" xfId="0" applyNumberFormat="1" applyFont="1" applyFill="1" applyBorder="1"/>
    <xf numFmtId="164" fontId="0" fillId="0" borderId="0" xfId="0" applyNumberFormat="1" applyFill="1" applyBorder="1"/>
    <xf numFmtId="165" fontId="0" fillId="0" borderId="21" xfId="0" applyNumberFormat="1" applyBorder="1" applyAlignment="1">
      <alignment horizontal="center"/>
    </xf>
    <xf numFmtId="169" fontId="0" fillId="5" borderId="17" xfId="0" applyNumberFormat="1" applyFont="1" applyFill="1" applyBorder="1" applyAlignment="1">
      <alignment horizontal="center"/>
    </xf>
    <xf numFmtId="0" fontId="24" fillId="0" borderId="0" xfId="0" applyFont="1" applyFill="1" applyBorder="1"/>
    <xf numFmtId="165" fontId="0" fillId="0" borderId="18" xfId="0" applyNumberFormat="1" applyBorder="1"/>
    <xf numFmtId="165" fontId="0" fillId="0" borderId="0" xfId="0" applyNumberFormat="1" applyBorder="1" applyAlignment="1">
      <alignment horizontal="center"/>
    </xf>
    <xf numFmtId="10" fontId="3" fillId="0" borderId="8" xfId="1" applyNumberFormat="1" applyFont="1" applyBorder="1" applyAlignment="1">
      <alignment horizontal="center"/>
    </xf>
    <xf numFmtId="167" fontId="19" fillId="8" borderId="0" xfId="0" applyNumberFormat="1" applyFont="1" applyFill="1"/>
    <xf numFmtId="0" fontId="2" fillId="4" borderId="0" xfId="0" applyFont="1" applyFill="1" applyBorder="1" applyAlignment="1">
      <alignment horizontal="center"/>
    </xf>
    <xf numFmtId="0" fontId="3" fillId="0" borderId="0" xfId="0" applyFont="1" applyFill="1" applyBorder="1" applyAlignment="1">
      <alignment horizontal="center"/>
    </xf>
    <xf numFmtId="164" fontId="0" fillId="0" borderId="4" xfId="0" applyNumberFormat="1" applyBorder="1" applyAlignment="1">
      <alignment horizontal="center"/>
    </xf>
    <xf numFmtId="10" fontId="3" fillId="0" borderId="7" xfId="1" applyNumberFormat="1" applyFont="1" applyBorder="1" applyAlignment="1">
      <alignment horizontal="center"/>
    </xf>
    <xf numFmtId="177" fontId="21" fillId="8" borderId="4" xfId="0" applyNumberFormat="1" applyFont="1" applyFill="1" applyBorder="1" applyAlignment="1">
      <alignment horizontal="right"/>
    </xf>
    <xf numFmtId="177" fontId="21" fillId="8" borderId="5" xfId="0" applyNumberFormat="1" applyFont="1" applyFill="1" applyBorder="1" applyAlignment="1">
      <alignment horizontal="right"/>
    </xf>
    <xf numFmtId="0" fontId="0" fillId="0" borderId="26" xfId="0" applyBorder="1" applyAlignment="1">
      <alignment horizontal="center"/>
    </xf>
    <xf numFmtId="0" fontId="2" fillId="4" borderId="27" xfId="0" applyFont="1" applyFill="1" applyBorder="1" applyAlignment="1">
      <alignment horizontal="center"/>
    </xf>
    <xf numFmtId="0" fontId="2" fillId="9" borderId="27" xfId="0" applyFont="1" applyFill="1" applyBorder="1" applyAlignment="1">
      <alignment horizontal="center"/>
    </xf>
    <xf numFmtId="169" fontId="2" fillId="4" borderId="28" xfId="0" applyNumberFormat="1" applyFont="1" applyFill="1" applyBorder="1" applyAlignment="1">
      <alignment horizontal="center"/>
    </xf>
    <xf numFmtId="169" fontId="0" fillId="5" borderId="15" xfId="0" applyNumberFormat="1" applyFont="1" applyFill="1" applyBorder="1"/>
    <xf numFmtId="165" fontId="0" fillId="0" borderId="16" xfId="0" applyNumberFormat="1" applyBorder="1"/>
    <xf numFmtId="169" fontId="0" fillId="5" borderId="24" xfId="0" applyNumberFormat="1" applyFont="1" applyFill="1" applyBorder="1"/>
    <xf numFmtId="165" fontId="15" fillId="0" borderId="30" xfId="0" applyNumberFormat="1" applyFont="1" applyBorder="1"/>
    <xf numFmtId="165" fontId="3" fillId="0" borderId="30" xfId="0" applyNumberFormat="1" applyFont="1" applyBorder="1"/>
    <xf numFmtId="165" fontId="0" fillId="0" borderId="23" xfId="0" applyNumberFormat="1" applyBorder="1"/>
    <xf numFmtId="165" fontId="0" fillId="0" borderId="31" xfId="0" applyNumberFormat="1" applyBorder="1"/>
    <xf numFmtId="165" fontId="0" fillId="0" borderId="14" xfId="0" applyNumberFormat="1" applyBorder="1"/>
    <xf numFmtId="164" fontId="3" fillId="0" borderId="4" xfId="0" applyNumberFormat="1" applyFont="1" applyFill="1" applyBorder="1"/>
    <xf numFmtId="164" fontId="21" fillId="8" borderId="4" xfId="0" applyNumberFormat="1" applyFont="1" applyFill="1" applyBorder="1"/>
    <xf numFmtId="164" fontId="21" fillId="8" borderId="5" xfId="0" applyNumberFormat="1" applyFont="1" applyFill="1" applyBorder="1"/>
    <xf numFmtId="166" fontId="3" fillId="0" borderId="7" xfId="1" applyNumberFormat="1" applyFont="1" applyFill="1" applyBorder="1"/>
    <xf numFmtId="166" fontId="3" fillId="0" borderId="8" xfId="1" applyNumberFormat="1" applyFont="1" applyFill="1" applyBorder="1"/>
    <xf numFmtId="177" fontId="3" fillId="0" borderId="4" xfId="0" applyNumberFormat="1" applyFont="1" applyFill="1" applyBorder="1" applyAlignment="1">
      <alignment horizontal="right"/>
    </xf>
    <xf numFmtId="0" fontId="2" fillId="4" borderId="32" xfId="0" applyFont="1" applyFill="1" applyBorder="1"/>
    <xf numFmtId="0" fontId="2" fillId="4" borderId="32" xfId="0" applyFont="1" applyFill="1" applyBorder="1" applyAlignment="1">
      <alignment horizontal="center"/>
    </xf>
    <xf numFmtId="164" fontId="3" fillId="0" borderId="21" xfId="0" applyNumberFormat="1" applyFont="1" applyFill="1" applyBorder="1"/>
    <xf numFmtId="169" fontId="2" fillId="4" borderId="29" xfId="0" applyNumberFormat="1" applyFont="1" applyFill="1" applyBorder="1"/>
    <xf numFmtId="164" fontId="19" fillId="8" borderId="0" xfId="0" applyNumberFormat="1" applyFont="1" applyFill="1"/>
    <xf numFmtId="0" fontId="0" fillId="0" borderId="0" xfId="0" applyFill="1" applyBorder="1" applyAlignment="1">
      <alignment horizontal="center"/>
    </xf>
    <xf numFmtId="164" fontId="0" fillId="0" borderId="0" xfId="0" applyNumberFormat="1" applyFill="1" applyBorder="1" applyAlignment="1">
      <alignment horizontal="center"/>
    </xf>
    <xf numFmtId="164" fontId="0" fillId="0" borderId="0" xfId="0" applyNumberFormat="1" applyFont="1" applyFill="1" applyBorder="1" applyAlignment="1">
      <alignment horizontal="center"/>
    </xf>
    <xf numFmtId="0" fontId="3" fillId="10" borderId="33" xfId="26" applyFont="1" applyFill="1" applyBorder="1"/>
    <xf numFmtId="2" fontId="3" fillId="0" borderId="10" xfId="0" applyNumberFormat="1" applyFont="1" applyFill="1" applyBorder="1" applyAlignment="1">
      <alignment horizontal="center"/>
    </xf>
    <xf numFmtId="0" fontId="19" fillId="11" borderId="0" xfId="0" applyFont="1" applyFill="1"/>
    <xf numFmtId="0" fontId="0" fillId="11" borderId="0" xfId="0" applyFont="1" applyFill="1"/>
    <xf numFmtId="0" fontId="20" fillId="8" borderId="0" xfId="0" applyFont="1" applyFill="1" applyAlignment="1">
      <alignment vertical="center"/>
    </xf>
    <xf numFmtId="2" fontId="19" fillId="8" borderId="0" xfId="0" applyNumberFormat="1" applyFont="1" applyFill="1" applyBorder="1"/>
    <xf numFmtId="0" fontId="2" fillId="0" borderId="0" xfId="0" applyFont="1" applyFill="1" applyBorder="1"/>
    <xf numFmtId="177" fontId="0" fillId="0" borderId="0" xfId="0" applyNumberFormat="1" applyFill="1" applyBorder="1"/>
    <xf numFmtId="0" fontId="0" fillId="12" borderId="0" xfId="0" applyFill="1"/>
    <xf numFmtId="14" fontId="0" fillId="12" borderId="0" xfId="0" applyNumberFormat="1" applyFill="1" applyAlignment="1">
      <alignment horizontal="center"/>
    </xf>
    <xf numFmtId="177" fontId="21" fillId="0" borderId="4" xfId="0" applyNumberFormat="1" applyFont="1" applyFill="1" applyBorder="1" applyAlignment="1">
      <alignment horizontal="right"/>
    </xf>
    <xf numFmtId="164" fontId="0" fillId="0" borderId="0" xfId="0" applyNumberFormat="1" applyFill="1" applyAlignment="1">
      <alignment horizontal="right"/>
    </xf>
    <xf numFmtId="164" fontId="0" fillId="0" borderId="0" xfId="0" applyNumberFormat="1" applyFont="1" applyFill="1" applyAlignment="1">
      <alignment horizontal="right"/>
    </xf>
    <xf numFmtId="164" fontId="19" fillId="6" borderId="0" xfId="0" applyNumberFormat="1" applyFont="1" applyFill="1"/>
    <xf numFmtId="0" fontId="2" fillId="4" borderId="33" xfId="0" applyFont="1" applyFill="1" applyBorder="1"/>
    <xf numFmtId="0" fontId="18" fillId="4" borderId="1" xfId="0" applyFont="1" applyFill="1" applyBorder="1"/>
    <xf numFmtId="0" fontId="25" fillId="4" borderId="33" xfId="0" applyFont="1" applyFill="1" applyBorder="1" applyAlignment="1">
      <alignment vertical="center"/>
    </xf>
    <xf numFmtId="0" fontId="0" fillId="10" borderId="0" xfId="0" applyFill="1"/>
    <xf numFmtId="0" fontId="0" fillId="0" borderId="0" xfId="0" applyFont="1" applyFill="1" applyBorder="1"/>
    <xf numFmtId="167" fontId="0" fillId="0" borderId="0" xfId="0" applyNumberFormat="1" applyFont="1" applyFill="1"/>
  </cellXfs>
  <cellStyles count="28">
    <cellStyle name="Comma 2" xfId="4"/>
    <cellStyle name="Comma 3" xfId="5"/>
    <cellStyle name="Comma 4" xfId="6"/>
    <cellStyle name="Comma 5" xfId="7"/>
    <cellStyle name="Comma 6" xfId="8"/>
    <cellStyle name="Comma 7" xfId="9"/>
    <cellStyle name="Comma 8" xfId="10"/>
    <cellStyle name="Comma_Q3" xfId="11"/>
    <cellStyle name="Currency 2" xfId="12"/>
    <cellStyle name="General" xfId="13"/>
    <cellStyle name="Header" xfId="3"/>
    <cellStyle name="Hipervínculo" xfId="26" builtinId="8"/>
    <cellStyle name="Millares 2" xfId="14"/>
    <cellStyle name="Millares 3" xfId="15"/>
    <cellStyle name="Millares 4" xfId="25"/>
    <cellStyle name="Moneda 2" xfId="16"/>
    <cellStyle name="Normal" xfId="0" builtinId="0"/>
    <cellStyle name="Normal 12" xfId="17"/>
    <cellStyle name="Normal 2" xfId="18"/>
    <cellStyle name="Normal 2 2" xfId="19"/>
    <cellStyle name="Normal 2 3" xfId="20"/>
    <cellStyle name="Normal 2 4" xfId="21"/>
    <cellStyle name="Normal 3" xfId="2"/>
    <cellStyle name="Normal 3 2" xfId="27"/>
    <cellStyle name="Percent 2" xfId="22"/>
    <cellStyle name="Percent 2 2" xfId="23"/>
    <cellStyle name="Porcentaje" xfId="1" builtinId="5"/>
    <cellStyle name="Porcentaje 2" xfId="24"/>
  </cellStyles>
  <dxfs count="0"/>
  <tableStyles count="0" defaultTableStyle="TableStyleMedium2" defaultPivotStyle="PivotStyleLight16"/>
  <colors>
    <mruColors>
      <color rgb="FFFCFA9C"/>
      <color rgb="FF0000FF"/>
      <color rgb="FFFFFF99"/>
      <color rgb="FFFFCCCC"/>
      <color rgb="FFFFCCFF"/>
      <color rgb="FFFF9999"/>
      <color rgb="FFFF99FF"/>
      <color rgb="FF000000"/>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160020</xdr:colOff>
      <xdr:row>61</xdr:row>
      <xdr:rowOff>22860</xdr:rowOff>
    </xdr:from>
    <xdr:to>
      <xdr:col>20</xdr:col>
      <xdr:colOff>199603</xdr:colOff>
      <xdr:row>66</xdr:row>
      <xdr:rowOff>33417</xdr:rowOff>
    </xdr:to>
    <xdr:pic>
      <xdr:nvPicPr>
        <xdr:cNvPr id="2" name="1 Imagen"/>
        <xdr:cNvPicPr>
          <a:picLocks noChangeAspect="1"/>
        </xdr:cNvPicPr>
      </xdr:nvPicPr>
      <xdr:blipFill>
        <a:blip xmlns:r="http://schemas.openxmlformats.org/officeDocument/2006/relationships" r:embed="rId1"/>
        <a:stretch>
          <a:fillRect/>
        </a:stretch>
      </xdr:blipFill>
      <xdr:spPr>
        <a:xfrm>
          <a:off x="4160520" y="11826240"/>
          <a:ext cx="7049984" cy="9159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aluations_Maste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b/Documents/Inversi&#243;n/Cleaves/Cleaves%20Vessels%20Val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ck Master"/>
      <sheetName val="Vessels Values Master"/>
    </sheetNames>
    <sheetDataSet>
      <sheetData sheetId="0">
        <row r="4">
          <cell r="C4">
            <v>17.84</v>
          </cell>
        </row>
      </sheetData>
      <sheetData sheetId="1">
        <row r="10">
          <cell r="C10">
            <v>5.4518518518516831E-4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ck Valuation"/>
      <sheetName val="Cleaves Vessels Value"/>
      <sheetName val="Tanker_Sales"/>
      <sheetName val="DB_Sales"/>
      <sheetName val="Shipping"/>
      <sheetName val="OrderBook"/>
      <sheetName val="Tanker_NB"/>
      <sheetName val="DB_NB"/>
      <sheetName val="Shorts"/>
      <sheetName val="Calculator"/>
      <sheetName val="Exchange"/>
      <sheetName val="WS"/>
      <sheetName val="Refieneries"/>
      <sheetName val="Notes"/>
    </sheetNames>
    <sheetDataSet>
      <sheetData sheetId="0"/>
      <sheetData sheetId="1">
        <row r="11">
          <cell r="C11">
            <v>8.7407407407407243E-3</v>
          </cell>
          <cell r="D11">
            <v>-0.43149206349206304</v>
          </cell>
          <cell r="E11">
            <v>1.2579894179894169</v>
          </cell>
          <cell r="F11">
            <v>127.43650793650792</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fo@ourios.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
  <sheetViews>
    <sheetView showGridLines="0" zoomScale="85" zoomScaleNormal="85" workbookViewId="0">
      <selection activeCell="A5" sqref="A5"/>
    </sheetView>
  </sheetViews>
  <sheetFormatPr baseColWidth="10" defaultColWidth="0" defaultRowHeight="0" customHeight="1" zeroHeight="1" x14ac:dyDescent="0.3"/>
  <cols>
    <col min="1" max="1" width="29.33203125" bestFit="1" customWidth="1"/>
    <col min="2" max="19" width="11.5546875" customWidth="1"/>
  </cols>
  <sheetData>
    <row r="1" spans="1:8" ht="14.4" customHeight="1" x14ac:dyDescent="0.3"/>
    <row r="2" spans="1:8" ht="14.4" customHeight="1" thickBot="1" x14ac:dyDescent="0.35"/>
    <row r="3" spans="1:8" ht="14.4" customHeight="1" x14ac:dyDescent="0.3">
      <c r="A3" s="37" t="s">
        <v>297</v>
      </c>
      <c r="F3" s="108" t="s">
        <v>209</v>
      </c>
      <c r="G3" s="61"/>
      <c r="H3" s="63"/>
    </row>
    <row r="4" spans="1:8" ht="14.4" customHeight="1" x14ac:dyDescent="0.3">
      <c r="A4" t="s">
        <v>298</v>
      </c>
      <c r="F4" s="109" t="s">
        <v>274</v>
      </c>
      <c r="G4" s="31"/>
      <c r="H4" s="73"/>
    </row>
    <row r="5" spans="1:8" ht="14.4" customHeight="1" x14ac:dyDescent="0.3">
      <c r="F5" s="109" t="s">
        <v>275</v>
      </c>
      <c r="G5" s="31"/>
      <c r="H5" s="73"/>
    </row>
    <row r="6" spans="1:8" ht="14.4" customHeight="1" x14ac:dyDescent="0.3">
      <c r="F6" s="110" t="s">
        <v>276</v>
      </c>
      <c r="G6" s="31"/>
      <c r="H6" s="73"/>
    </row>
    <row r="7" spans="1:8" ht="14.4" customHeight="1" thickBot="1" x14ac:dyDescent="0.35">
      <c r="F7" s="111"/>
      <c r="G7" s="75"/>
      <c r="H7" s="112"/>
    </row>
    <row r="8" spans="1:8" ht="14.4" customHeight="1" x14ac:dyDescent="0.3"/>
    <row r="9" spans="1:8" ht="14.4" customHeight="1" x14ac:dyDescent="0.3"/>
    <row r="10" spans="1:8" s="171" customFormat="1" ht="14.4" customHeight="1" x14ac:dyDescent="0.3">
      <c r="A10" s="170" t="s">
        <v>187</v>
      </c>
    </row>
    <row r="11" spans="1:8" ht="14.4" customHeight="1" x14ac:dyDescent="0.3">
      <c r="A11" s="91" t="s">
        <v>198</v>
      </c>
    </row>
    <row r="12" spans="1:8" ht="14.4" customHeight="1" x14ac:dyDescent="0.3">
      <c r="A12" s="91" t="s">
        <v>199</v>
      </c>
    </row>
    <row r="13" spans="1:8" ht="14.4" customHeight="1" x14ac:dyDescent="0.3">
      <c r="A13" s="91"/>
    </row>
    <row r="14" spans="1:8" ht="14.4" customHeight="1" x14ac:dyDescent="0.3">
      <c r="A14" s="91"/>
    </row>
    <row r="15" spans="1:8" ht="14.4" customHeight="1" x14ac:dyDescent="0.3">
      <c r="A15" s="91"/>
    </row>
    <row r="16" spans="1:8" s="171" customFormat="1" ht="14.4" customHeight="1" x14ac:dyDescent="0.3">
      <c r="A16" s="170" t="s">
        <v>277</v>
      </c>
    </row>
    <row r="17" spans="1:2" ht="14.4" customHeight="1" x14ac:dyDescent="0.3">
      <c r="A17" t="s">
        <v>278</v>
      </c>
    </row>
    <row r="18" spans="1:2" ht="14.4" customHeight="1" x14ac:dyDescent="0.3">
      <c r="A18" t="s">
        <v>279</v>
      </c>
    </row>
    <row r="19" spans="1:2" ht="14.4" customHeight="1" x14ac:dyDescent="0.3"/>
    <row r="20" spans="1:2" ht="14.4" customHeight="1" x14ac:dyDescent="0.3">
      <c r="A20" s="91"/>
    </row>
    <row r="21" spans="1:2" ht="14.4" customHeight="1" x14ac:dyDescent="0.3">
      <c r="A21" s="91"/>
    </row>
    <row r="22" spans="1:2" s="171" customFormat="1" ht="14.4" customHeight="1" x14ac:dyDescent="0.3">
      <c r="A22" s="172" t="s">
        <v>280</v>
      </c>
    </row>
    <row r="23" spans="1:2" ht="14.4" customHeight="1" x14ac:dyDescent="0.3">
      <c r="A23" s="89" t="s">
        <v>195</v>
      </c>
      <c r="B23" t="s">
        <v>200</v>
      </c>
    </row>
    <row r="24" spans="1:2" ht="14.4" customHeight="1" x14ac:dyDescent="0.3">
      <c r="A24" s="90" t="s">
        <v>196</v>
      </c>
      <c r="B24" t="s">
        <v>197</v>
      </c>
    </row>
    <row r="25" spans="1:2" ht="14.4" customHeight="1" x14ac:dyDescent="0.3">
      <c r="A25" t="s">
        <v>201</v>
      </c>
      <c r="B25" t="s">
        <v>202</v>
      </c>
    </row>
    <row r="26" spans="1:2" ht="14.4" customHeight="1" x14ac:dyDescent="0.3">
      <c r="A26" s="160" t="s">
        <v>208</v>
      </c>
      <c r="B26" s="37" t="s">
        <v>259</v>
      </c>
    </row>
    <row r="27" spans="1:2" s="29" customFormat="1" ht="14.4" customHeight="1" x14ac:dyDescent="0.3">
      <c r="A27" s="96"/>
    </row>
    <row r="28" spans="1:2" s="29" customFormat="1" ht="14.4" customHeight="1" x14ac:dyDescent="0.3">
      <c r="A28" s="96"/>
    </row>
    <row r="29" spans="1:2" ht="14.4" customHeight="1" x14ac:dyDescent="0.3"/>
    <row r="30" spans="1:2" s="99" customFormat="1" ht="14.4" customHeight="1" x14ac:dyDescent="0.3">
      <c r="A30" s="156" t="s">
        <v>263</v>
      </c>
    </row>
    <row r="31" spans="1:2" ht="14.4" customHeight="1" x14ac:dyDescent="0.3">
      <c r="A31" t="s">
        <v>206</v>
      </c>
      <c r="B31" t="s">
        <v>281</v>
      </c>
    </row>
    <row r="32" spans="1:2" ht="14.4" customHeight="1" x14ac:dyDescent="0.3">
      <c r="A32" s="97" t="s">
        <v>237</v>
      </c>
      <c r="B32" t="s">
        <v>282</v>
      </c>
    </row>
    <row r="33" spans="1:2" ht="14.4" customHeight="1" x14ac:dyDescent="0.3">
      <c r="A33" s="97" t="s">
        <v>235</v>
      </c>
      <c r="B33" t="s">
        <v>236</v>
      </c>
    </row>
    <row r="34" spans="1:2" ht="14.4" customHeight="1" x14ac:dyDescent="0.3">
      <c r="A34" s="97" t="s">
        <v>180</v>
      </c>
      <c r="B34" t="s">
        <v>283</v>
      </c>
    </row>
    <row r="35" spans="1:2" ht="14.4" customHeight="1" x14ac:dyDescent="0.3">
      <c r="A35" s="97" t="s">
        <v>234</v>
      </c>
      <c r="B35" t="s">
        <v>284</v>
      </c>
    </row>
    <row r="36" spans="1:2" ht="14.4" customHeight="1" x14ac:dyDescent="0.3">
      <c r="A36" s="97" t="s">
        <v>233</v>
      </c>
      <c r="B36" t="s">
        <v>181</v>
      </c>
    </row>
    <row r="37" spans="1:2" ht="14.4" customHeight="1" x14ac:dyDescent="0.3">
      <c r="A37" s="97" t="s">
        <v>232</v>
      </c>
      <c r="B37" t="s">
        <v>182</v>
      </c>
    </row>
    <row r="38" spans="1:2" ht="14.4" customHeight="1" x14ac:dyDescent="0.3">
      <c r="A38" s="97" t="s">
        <v>231</v>
      </c>
      <c r="B38" t="s">
        <v>183</v>
      </c>
    </row>
    <row r="39" spans="1:2" ht="14.4" customHeight="1" x14ac:dyDescent="0.3">
      <c r="A39" s="97" t="s">
        <v>184</v>
      </c>
      <c r="B39" t="s">
        <v>185</v>
      </c>
    </row>
    <row r="40" spans="1:2" ht="14.4" customHeight="1" x14ac:dyDescent="0.3">
      <c r="A40" s="97" t="s">
        <v>186</v>
      </c>
      <c r="B40" t="s">
        <v>238</v>
      </c>
    </row>
    <row r="41" spans="1:2" ht="14.4" customHeight="1" x14ac:dyDescent="0.3">
      <c r="A41" t="s">
        <v>194</v>
      </c>
      <c r="B41" t="s">
        <v>207</v>
      </c>
    </row>
    <row r="42" spans="1:2" ht="14.4" customHeight="1" x14ac:dyDescent="0.3">
      <c r="A42" t="s">
        <v>285</v>
      </c>
      <c r="B42" t="s">
        <v>286</v>
      </c>
    </row>
    <row r="43" spans="1:2" ht="14.4" customHeight="1" x14ac:dyDescent="0.3">
      <c r="A43" s="12"/>
    </row>
    <row r="44" spans="1:2" ht="14.4" customHeight="1" x14ac:dyDescent="0.3">
      <c r="A44" s="98" t="s">
        <v>188</v>
      </c>
    </row>
    <row r="45" spans="1:2" ht="14.4" customHeight="1" x14ac:dyDescent="0.3">
      <c r="A45" t="s">
        <v>189</v>
      </c>
      <c r="B45" t="s">
        <v>193</v>
      </c>
    </row>
    <row r="46" spans="1:2" ht="14.4" customHeight="1" x14ac:dyDescent="0.3">
      <c r="A46" s="69" t="s">
        <v>190</v>
      </c>
      <c r="B46" t="s">
        <v>192</v>
      </c>
    </row>
    <row r="47" spans="1:2" ht="14.4" customHeight="1" x14ac:dyDescent="0.3">
      <c r="A47" s="164" t="s">
        <v>191</v>
      </c>
      <c r="B47" t="s">
        <v>287</v>
      </c>
    </row>
    <row r="48" spans="1:2" ht="14.4" customHeight="1" x14ac:dyDescent="0.3">
      <c r="A48" s="173" t="s">
        <v>288</v>
      </c>
      <c r="B48" t="s">
        <v>289</v>
      </c>
    </row>
    <row r="49" spans="1:4" ht="14.4" customHeight="1" x14ac:dyDescent="0.3">
      <c r="A49" s="29"/>
      <c r="B49" s="29"/>
      <c r="C49" s="29"/>
    </row>
    <row r="50" spans="1:4" ht="14.4" customHeight="1" x14ac:dyDescent="0.3">
      <c r="A50" s="159" t="s">
        <v>290</v>
      </c>
      <c r="B50" s="158"/>
      <c r="C50" s="158"/>
      <c r="D50" s="158"/>
    </row>
    <row r="51" spans="1:4" ht="14.4" customHeight="1" x14ac:dyDescent="0.3"/>
    <row r="52" spans="1:4" ht="14.4" customHeight="1" x14ac:dyDescent="0.3"/>
    <row r="53" spans="1:4" s="99" customFormat="1" ht="14.4" customHeight="1" x14ac:dyDescent="0.3">
      <c r="A53" s="156" t="s">
        <v>262</v>
      </c>
    </row>
    <row r="54" spans="1:4" ht="14.4" customHeight="1" x14ac:dyDescent="0.3">
      <c r="A54" t="s">
        <v>204</v>
      </c>
    </row>
    <row r="55" spans="1:4" ht="14.4" customHeight="1" x14ac:dyDescent="0.3">
      <c r="A55" t="s">
        <v>246</v>
      </c>
      <c r="B55" t="s">
        <v>247</v>
      </c>
    </row>
    <row r="56" spans="1:4" ht="14.4" customHeight="1" x14ac:dyDescent="0.3">
      <c r="A56" t="s">
        <v>249</v>
      </c>
      <c r="B56" t="s">
        <v>250</v>
      </c>
    </row>
    <row r="57" spans="1:4" ht="14.4" customHeight="1" x14ac:dyDescent="0.3"/>
    <row r="58" spans="1:4" s="31" customFormat="1" ht="14.4" customHeight="1" x14ac:dyDescent="0.3">
      <c r="A58" s="39" t="s">
        <v>291</v>
      </c>
    </row>
    <row r="59" spans="1:4" ht="14.4" customHeight="1" x14ac:dyDescent="0.3">
      <c r="A59" t="s">
        <v>292</v>
      </c>
    </row>
    <row r="60" spans="1:4" ht="14.4" customHeight="1" x14ac:dyDescent="0.3"/>
    <row r="61" spans="1:4" ht="14.4" customHeight="1" x14ac:dyDescent="0.3">
      <c r="A61" s="159" t="s">
        <v>290</v>
      </c>
      <c r="B61" s="158"/>
      <c r="C61" s="158"/>
      <c r="D61" s="158"/>
    </row>
    <row r="62" spans="1:4" ht="14.4" customHeight="1" x14ac:dyDescent="0.3"/>
    <row r="63" spans="1:4" ht="14.4" customHeight="1" x14ac:dyDescent="0.3"/>
    <row r="64" spans="1:4" s="99" customFormat="1" ht="14.4" customHeight="1" x14ac:dyDescent="0.3">
      <c r="A64" s="156" t="s">
        <v>261</v>
      </c>
    </row>
    <row r="65" spans="1:4" ht="14.4" customHeight="1" x14ac:dyDescent="0.3">
      <c r="A65" t="s">
        <v>203</v>
      </c>
    </row>
    <row r="66" spans="1:4" ht="14.4" customHeight="1" x14ac:dyDescent="0.3">
      <c r="A66" t="s">
        <v>252</v>
      </c>
      <c r="B66" t="s">
        <v>293</v>
      </c>
    </row>
    <row r="67" spans="1:4" ht="14.4" customHeight="1" x14ac:dyDescent="0.3">
      <c r="A67" t="s">
        <v>253</v>
      </c>
      <c r="B67" t="s">
        <v>254</v>
      </c>
    </row>
    <row r="68" spans="1:4" ht="14.4" customHeight="1" x14ac:dyDescent="0.3">
      <c r="A68" t="s">
        <v>255</v>
      </c>
      <c r="B68" t="s">
        <v>256</v>
      </c>
    </row>
    <row r="69" spans="1:4" ht="14.4" customHeight="1" x14ac:dyDescent="0.3"/>
    <row r="70" spans="1:4" s="31" customFormat="1" ht="14.4" customHeight="1" x14ac:dyDescent="0.3">
      <c r="A70" s="39" t="s">
        <v>291</v>
      </c>
    </row>
    <row r="71" spans="1:4" ht="14.4" customHeight="1" x14ac:dyDescent="0.3">
      <c r="A71" t="s">
        <v>257</v>
      </c>
    </row>
    <row r="72" spans="1:4" ht="14.4" customHeight="1" x14ac:dyDescent="0.3">
      <c r="A72" t="s">
        <v>294</v>
      </c>
    </row>
    <row r="73" spans="1:4" ht="14.4" customHeight="1" x14ac:dyDescent="0.3">
      <c r="A73" t="s">
        <v>295</v>
      </c>
    </row>
    <row r="74" spans="1:4" ht="14.4" customHeight="1" x14ac:dyDescent="0.3"/>
    <row r="75" spans="1:4" ht="14.4" customHeight="1" x14ac:dyDescent="0.3">
      <c r="A75" s="159" t="s">
        <v>290</v>
      </c>
      <c r="B75" s="158"/>
      <c r="C75" s="158"/>
      <c r="D75" s="158"/>
    </row>
    <row r="76" spans="1:4" ht="14.4" customHeight="1" x14ac:dyDescent="0.3"/>
    <row r="77" spans="1:4" ht="14.4" customHeight="1" x14ac:dyDescent="0.3"/>
    <row r="78" spans="1:4" s="99" customFormat="1" ht="14.4" customHeight="1" x14ac:dyDescent="0.3">
      <c r="A78" s="156" t="s">
        <v>260</v>
      </c>
    </row>
    <row r="79" spans="1:4" ht="14.4" customHeight="1" x14ac:dyDescent="0.3">
      <c r="A79" t="s">
        <v>205</v>
      </c>
    </row>
    <row r="80" spans="1:4" ht="14.4" customHeight="1" x14ac:dyDescent="0.3">
      <c r="A80" t="s">
        <v>258</v>
      </c>
    </row>
    <row r="81" spans="1:4" ht="14.4" customHeight="1" x14ac:dyDescent="0.3"/>
    <row r="82" spans="1:4" s="31" customFormat="1" ht="14.4" customHeight="1" x14ac:dyDescent="0.3">
      <c r="A82" s="39" t="s">
        <v>291</v>
      </c>
    </row>
    <row r="83" spans="1:4" ht="14.4" customHeight="1" x14ac:dyDescent="0.3">
      <c r="A83" t="s">
        <v>296</v>
      </c>
    </row>
    <row r="84" spans="1:4" ht="14.4" customHeight="1" x14ac:dyDescent="0.3"/>
    <row r="85" spans="1:4" ht="14.4" customHeight="1" x14ac:dyDescent="0.3">
      <c r="A85" s="159" t="s">
        <v>290</v>
      </c>
      <c r="B85" s="158"/>
      <c r="C85" s="158"/>
      <c r="D85" s="158"/>
    </row>
    <row r="86" spans="1:4" ht="14.4" customHeight="1" x14ac:dyDescent="0.3"/>
    <row r="87" spans="1:4" ht="14.4" customHeight="1" x14ac:dyDescent="0.3"/>
    <row r="88" spans="1:4" ht="14.4" customHeight="1" x14ac:dyDescent="0.3"/>
    <row r="89" spans="1:4" ht="14.4" customHeight="1" x14ac:dyDescent="0.3"/>
    <row r="90" spans="1:4" ht="14.4" customHeight="1" x14ac:dyDescent="0.3"/>
    <row r="91" spans="1:4" ht="14.4" customHeight="1" x14ac:dyDescent="0.3"/>
  </sheetData>
  <hyperlinks>
    <hyperlink ref="F6" r:id="rId1"/>
    <hyperlink ref="A30" location="NAV!A1" display="NAV Content"/>
    <hyperlink ref="A53" location="'P&amp;L'!A1" display="P&amp;L Content"/>
    <hyperlink ref="A64" location="Balance!A1" display="BALANCE Content"/>
    <hyperlink ref="A78" location="CashFlow!A1" display="CASH FLOW Content"/>
  </hyperlinks>
  <pageMargins left="0.7" right="0.7" top="0.75" bottom="0.75" header="0.3" footer="0.3"/>
  <pageSetup paperSize="9" orientation="portrait" horizontalDpi="0" verticalDpi="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tabColor theme="1"/>
  </sheetPr>
  <dimension ref="A1:S55"/>
  <sheetViews>
    <sheetView showGridLines="0" tabSelected="1" zoomScale="85" zoomScaleNormal="85" workbookViewId="0">
      <selection activeCell="M2" sqref="M2"/>
    </sheetView>
  </sheetViews>
  <sheetFormatPr baseColWidth="10" defaultColWidth="10.77734375" defaultRowHeight="14.4" customHeight="1" x14ac:dyDescent="0.3"/>
  <cols>
    <col min="1" max="1" width="2.77734375" customWidth="1"/>
    <col min="2" max="2" width="20.109375" bestFit="1" customWidth="1"/>
    <col min="12" max="12" width="2.77734375" customWidth="1"/>
    <col min="13" max="13" width="29.109375" bestFit="1" customWidth="1"/>
  </cols>
  <sheetData>
    <row r="1" spans="2:19" ht="14.4" customHeight="1" thickTop="1" thickBot="1" x14ac:dyDescent="0.35">
      <c r="B1" s="148" t="s">
        <v>53</v>
      </c>
      <c r="C1" s="149" t="s">
        <v>268</v>
      </c>
      <c r="D1" s="149" t="s">
        <v>215</v>
      </c>
      <c r="E1" s="149" t="s">
        <v>226</v>
      </c>
      <c r="F1" s="149" t="s">
        <v>55</v>
      </c>
      <c r="G1" s="149" t="s">
        <v>54</v>
      </c>
      <c r="H1" s="149" t="s">
        <v>270</v>
      </c>
      <c r="I1" s="149" t="s">
        <v>271</v>
      </c>
      <c r="J1" s="149" t="s">
        <v>265</v>
      </c>
      <c r="K1" s="149" t="s">
        <v>245</v>
      </c>
      <c r="M1" s="118" t="s">
        <v>178</v>
      </c>
    </row>
    <row r="2" spans="2:19" ht="14.4" customHeight="1" thickTop="1" thickBot="1" x14ac:dyDescent="0.35">
      <c r="B2" t="s">
        <v>56</v>
      </c>
      <c r="C2" s="30" t="s">
        <v>26</v>
      </c>
      <c r="D2" s="30" t="s">
        <v>223</v>
      </c>
      <c r="E2" s="30" t="s">
        <v>227</v>
      </c>
      <c r="F2" s="81">
        <v>1</v>
      </c>
      <c r="G2" s="82">
        <v>43101</v>
      </c>
      <c r="H2" s="83">
        <f t="shared" ref="H2:H20" ca="1" si="0">(TODAY()-G2)/365</f>
        <v>8.6136986301369856</v>
      </c>
      <c r="I2" s="84">
        <f t="shared" ref="I2:I24" ca="1" si="1">$C$34*H2^3+$D$34*H2^2+$E$34*H2+$F$34</f>
        <v>111.8437590485505</v>
      </c>
      <c r="J2" s="84">
        <f t="shared" ref="J2:J24" ca="1" si="2">I2*$C$39</f>
        <v>120.79125977243454</v>
      </c>
      <c r="K2" s="30">
        <v>1</v>
      </c>
      <c r="M2" s="157">
        <f>'[1]Stock Master'!$C$4</f>
        <v>17.84</v>
      </c>
    </row>
    <row r="3" spans="2:19" ht="14.4" customHeight="1" thickTop="1" thickBot="1" x14ac:dyDescent="0.35">
      <c r="B3" t="s">
        <v>57</v>
      </c>
      <c r="C3" s="30" t="s">
        <v>26</v>
      </c>
      <c r="D3" s="30" t="s">
        <v>223</v>
      </c>
      <c r="E3" s="30" t="s">
        <v>227</v>
      </c>
      <c r="F3" s="81">
        <v>1</v>
      </c>
      <c r="G3" s="82">
        <v>43101</v>
      </c>
      <c r="H3" s="83">
        <f t="shared" ca="1" si="0"/>
        <v>8.6136986301369856</v>
      </c>
      <c r="I3" s="84">
        <f t="shared" ca="1" si="1"/>
        <v>111.8437590485505</v>
      </c>
      <c r="J3" s="84">
        <f t="shared" ca="1" si="2"/>
        <v>120.79125977243454</v>
      </c>
      <c r="K3" s="30">
        <v>1</v>
      </c>
    </row>
    <row r="4" spans="2:19" ht="14.4" customHeight="1" thickBot="1" x14ac:dyDescent="0.35">
      <c r="B4" t="s">
        <v>59</v>
      </c>
      <c r="C4" s="30" t="s">
        <v>26</v>
      </c>
      <c r="D4" s="30" t="s">
        <v>224</v>
      </c>
      <c r="E4" s="30" t="s">
        <v>227</v>
      </c>
      <c r="F4" s="81">
        <v>1</v>
      </c>
      <c r="G4" s="82">
        <v>43101</v>
      </c>
      <c r="H4" s="83">
        <f t="shared" ca="1" si="0"/>
        <v>8.6136986301369856</v>
      </c>
      <c r="I4" s="84">
        <f t="shared" ca="1" si="1"/>
        <v>111.8437590485505</v>
      </c>
      <c r="J4" s="84">
        <f t="shared" ca="1" si="2"/>
        <v>120.79125977243454</v>
      </c>
      <c r="K4" s="30">
        <v>1</v>
      </c>
      <c r="M4" s="130" t="s">
        <v>27</v>
      </c>
      <c r="N4" s="131" t="s">
        <v>169</v>
      </c>
      <c r="O4" s="131" t="s">
        <v>170</v>
      </c>
      <c r="P4" s="132" t="s">
        <v>171</v>
      </c>
      <c r="Q4" s="132" t="s">
        <v>172</v>
      </c>
      <c r="R4" s="132" t="s">
        <v>241</v>
      </c>
      <c r="S4" s="132" t="s">
        <v>300</v>
      </c>
    </row>
    <row r="5" spans="2:19" ht="14.4" customHeight="1" thickBot="1" x14ac:dyDescent="0.35">
      <c r="B5" t="s">
        <v>60</v>
      </c>
      <c r="C5" s="30" t="s">
        <v>26</v>
      </c>
      <c r="D5" s="30" t="s">
        <v>224</v>
      </c>
      <c r="E5" s="30" t="s">
        <v>227</v>
      </c>
      <c r="F5" s="81">
        <v>1</v>
      </c>
      <c r="G5" s="82">
        <v>43101</v>
      </c>
      <c r="H5" s="83">
        <f t="shared" ca="1" si="0"/>
        <v>8.6136986301369856</v>
      </c>
      <c r="I5" s="84">
        <f t="shared" ca="1" si="1"/>
        <v>111.8437590485505</v>
      </c>
      <c r="J5" s="84">
        <f t="shared" ca="1" si="2"/>
        <v>120.79125977243454</v>
      </c>
      <c r="K5" s="30">
        <v>1</v>
      </c>
      <c r="M5" s="134" t="s">
        <v>29</v>
      </c>
      <c r="N5" s="135">
        <v>2387.56</v>
      </c>
      <c r="O5" s="135">
        <v>2598.91</v>
      </c>
      <c r="P5" s="135">
        <f ca="1">P21*(SUM($J$2:$J$24))</f>
        <v>2587.7803269913566</v>
      </c>
      <c r="Q5" s="135">
        <f ca="1">Q21*(SUM($J$2:$J$24))</f>
        <v>2574.8414253563997</v>
      </c>
      <c r="R5" s="135">
        <f ca="1">R21*(SUM($J$2:$J$24))</f>
        <v>2561.9025237214428</v>
      </c>
      <c r="S5" s="135">
        <f ca="1">S21*(SUM($J$2:$J$24))</f>
        <v>2548.9636220864863</v>
      </c>
    </row>
    <row r="6" spans="2:19" ht="14.4" customHeight="1" thickTop="1" thickBot="1" x14ac:dyDescent="0.35">
      <c r="B6" t="s">
        <v>61</v>
      </c>
      <c r="C6" s="30" t="s">
        <v>26</v>
      </c>
      <c r="D6" s="30" t="s">
        <v>223</v>
      </c>
      <c r="E6" s="30" t="s">
        <v>227</v>
      </c>
      <c r="F6" s="81">
        <v>1</v>
      </c>
      <c r="G6" s="82">
        <v>42736</v>
      </c>
      <c r="H6" s="83">
        <f t="shared" ca="1" si="0"/>
        <v>9.6136986301369856</v>
      </c>
      <c r="I6" s="84">
        <f t="shared" ca="1" si="1"/>
        <v>107.4169611338162</v>
      </c>
      <c r="J6" s="84">
        <f t="shared" ca="1" si="2"/>
        <v>116.01031802452151</v>
      </c>
      <c r="K6" s="30">
        <v>1</v>
      </c>
      <c r="M6" s="50" t="s">
        <v>19</v>
      </c>
      <c r="N6" s="120">
        <f>-Balance!Q45/1000</f>
        <v>-505.34300000000002</v>
      </c>
      <c r="O6" s="120">
        <f>-Balance!R45/1000</f>
        <v>-434.80399999999997</v>
      </c>
      <c r="P6" s="120">
        <f>-Balance!S45/1000</f>
        <v>-423.44600000000003</v>
      </c>
      <c r="Q6" s="120">
        <f>-Balance!T45/1000</f>
        <v>-412.08800000000002</v>
      </c>
      <c r="R6" s="120">
        <f>-Balance!U45/1000</f>
        <v>-400.73</v>
      </c>
      <c r="S6" s="120">
        <f>-Balance!V45/1000</f>
        <v>-389.37200000000001</v>
      </c>
    </row>
    <row r="7" spans="2:19" ht="14.4" customHeight="1" thickTop="1" thickBot="1" x14ac:dyDescent="0.35">
      <c r="B7" t="s">
        <v>62</v>
      </c>
      <c r="C7" s="30" t="s">
        <v>26</v>
      </c>
      <c r="D7" s="30" t="s">
        <v>224</v>
      </c>
      <c r="E7" s="30" t="s">
        <v>227</v>
      </c>
      <c r="F7" s="81">
        <v>1</v>
      </c>
      <c r="G7" s="82">
        <v>42370</v>
      </c>
      <c r="H7" s="83">
        <f t="shared" ca="1" si="0"/>
        <v>10.616438356164384</v>
      </c>
      <c r="I7" s="84">
        <f t="shared" ca="1" si="1"/>
        <v>102.61780819061606</v>
      </c>
      <c r="J7" s="84">
        <f t="shared" ca="1" si="2"/>
        <v>110.82723284586535</v>
      </c>
      <c r="K7" s="30">
        <v>1</v>
      </c>
      <c r="M7" s="51" t="s">
        <v>30</v>
      </c>
      <c r="N7" s="120">
        <f>Balance!Q3/1000</f>
        <v>126.246</v>
      </c>
      <c r="O7" s="120">
        <f>Balance!R3/1000</f>
        <v>161.68299999999999</v>
      </c>
      <c r="P7" s="120">
        <f>Balance!S3/1000</f>
        <v>245.72896713999998</v>
      </c>
      <c r="Q7" s="120">
        <f>Balance!T3/1000</f>
        <v>264.50153526583267</v>
      </c>
      <c r="R7" s="120">
        <f>Balance!U3/1000</f>
        <v>226.62464355080567</v>
      </c>
      <c r="S7" s="120">
        <f>Balance!V3/1000</f>
        <v>199.58805264390284</v>
      </c>
    </row>
    <row r="8" spans="2:19" ht="14.4" customHeight="1" thickTop="1" thickBot="1" x14ac:dyDescent="0.35">
      <c r="B8" t="s">
        <v>63</v>
      </c>
      <c r="C8" s="30" t="s">
        <v>26</v>
      </c>
      <c r="D8" s="30" t="s">
        <v>224</v>
      </c>
      <c r="E8" s="30" t="s">
        <v>227</v>
      </c>
      <c r="F8" s="81">
        <v>1</v>
      </c>
      <c r="G8" s="82">
        <v>42370</v>
      </c>
      <c r="H8" s="83">
        <f t="shared" ca="1" si="0"/>
        <v>10.616438356164384</v>
      </c>
      <c r="I8" s="84">
        <f t="shared" ca="1" si="1"/>
        <v>102.61780819061606</v>
      </c>
      <c r="J8" s="84">
        <f t="shared" ca="1" si="2"/>
        <v>110.82723284586535</v>
      </c>
      <c r="K8" s="30">
        <v>1</v>
      </c>
      <c r="M8" s="50" t="s">
        <v>81</v>
      </c>
      <c r="N8" s="120">
        <f>Balance!Q13/1000</f>
        <v>55.676000000000002</v>
      </c>
      <c r="O8" s="120">
        <f>Balance!R13/1000</f>
        <v>56.973999999999997</v>
      </c>
      <c r="P8" s="120">
        <f>Balance!S13/1000</f>
        <v>56.973999999999997</v>
      </c>
      <c r="Q8" s="120">
        <f>Balance!T13/1000</f>
        <v>56.973999999999997</v>
      </c>
      <c r="R8" s="120">
        <f>Balance!U13/1000</f>
        <v>56.973999999999997</v>
      </c>
      <c r="S8" s="120">
        <f>Balance!V13/1000</f>
        <v>56.973999999999997</v>
      </c>
    </row>
    <row r="9" spans="2:19" ht="14.4" customHeight="1" thickTop="1" thickBot="1" x14ac:dyDescent="0.35">
      <c r="B9" t="s">
        <v>64</v>
      </c>
      <c r="C9" s="30" t="s">
        <v>26</v>
      </c>
      <c r="D9" s="30" t="s">
        <v>223</v>
      </c>
      <c r="E9" s="30" t="s">
        <v>227</v>
      </c>
      <c r="F9" s="81">
        <v>1</v>
      </c>
      <c r="G9" s="82">
        <v>42370</v>
      </c>
      <c r="H9" s="83">
        <f t="shared" ca="1" si="0"/>
        <v>10.616438356164384</v>
      </c>
      <c r="I9" s="84">
        <f t="shared" ca="1" si="1"/>
        <v>102.61780819061606</v>
      </c>
      <c r="J9" s="84">
        <f t="shared" ca="1" si="2"/>
        <v>110.82723284586535</v>
      </c>
      <c r="K9" s="30">
        <v>1</v>
      </c>
      <c r="M9" s="50" t="s">
        <v>82</v>
      </c>
      <c r="N9" s="120"/>
      <c r="O9" s="120"/>
      <c r="P9" s="120"/>
      <c r="Q9" s="120"/>
      <c r="R9" s="120"/>
      <c r="S9" s="120"/>
    </row>
    <row r="10" spans="2:19" ht="14.4" customHeight="1" thickTop="1" thickBot="1" x14ac:dyDescent="0.35">
      <c r="B10" t="s">
        <v>65</v>
      </c>
      <c r="C10" s="30" t="s">
        <v>26</v>
      </c>
      <c r="D10" s="30" t="s">
        <v>223</v>
      </c>
      <c r="E10" s="30" t="s">
        <v>227</v>
      </c>
      <c r="F10" s="81">
        <v>1</v>
      </c>
      <c r="G10" s="82">
        <v>42370</v>
      </c>
      <c r="H10" s="83">
        <f t="shared" ca="1" si="0"/>
        <v>10.616438356164384</v>
      </c>
      <c r="I10" s="84">
        <f t="shared" ca="1" si="1"/>
        <v>102.61780819061606</v>
      </c>
      <c r="J10" s="84">
        <f t="shared" ca="1" si="2"/>
        <v>110.82723284586535</v>
      </c>
      <c r="K10" s="30">
        <v>1</v>
      </c>
      <c r="M10" s="50" t="s">
        <v>8</v>
      </c>
      <c r="N10" s="120">
        <f>Balance!Q53/1000</f>
        <v>163.971</v>
      </c>
      <c r="O10" s="120">
        <f>Balance!R53/1000</f>
        <v>165.11099999999999</v>
      </c>
      <c r="P10" s="120">
        <f>Balance!S53/1000</f>
        <v>165.11099999999999</v>
      </c>
      <c r="Q10" s="120">
        <f>Balance!T53/1000</f>
        <v>165.11099999999999</v>
      </c>
      <c r="R10" s="120">
        <f>Balance!U53/1000</f>
        <v>165.11099999999999</v>
      </c>
      <c r="S10" s="120">
        <f>Balance!V53/1000</f>
        <v>165.11099999999999</v>
      </c>
    </row>
    <row r="11" spans="2:19" ht="14.4" customHeight="1" thickTop="1" thickBot="1" x14ac:dyDescent="0.35">
      <c r="B11" t="s">
        <v>66</v>
      </c>
      <c r="C11" s="30" t="s">
        <v>26</v>
      </c>
      <c r="D11" s="30" t="s">
        <v>223</v>
      </c>
      <c r="E11" s="30" t="s">
        <v>227</v>
      </c>
      <c r="F11" s="81">
        <v>1</v>
      </c>
      <c r="G11" s="82">
        <v>42370</v>
      </c>
      <c r="H11" s="83">
        <f t="shared" ca="1" si="0"/>
        <v>10.616438356164384</v>
      </c>
      <c r="I11" s="84">
        <f t="shared" ca="1" si="1"/>
        <v>102.61780819061606</v>
      </c>
      <c r="J11" s="84">
        <f t="shared" ca="1" si="2"/>
        <v>110.82723284586535</v>
      </c>
      <c r="K11" s="30">
        <v>1</v>
      </c>
      <c r="M11" s="52" t="s">
        <v>52</v>
      </c>
      <c r="N11" s="120">
        <f t="shared" ref="N11:S11" si="3">N23*1.5</f>
        <v>0</v>
      </c>
      <c r="O11" s="120">
        <f t="shared" si="3"/>
        <v>34.5</v>
      </c>
      <c r="P11" s="120">
        <f t="shared" si="3"/>
        <v>34.5</v>
      </c>
      <c r="Q11" s="120">
        <f t="shared" si="3"/>
        <v>34.5</v>
      </c>
      <c r="R11" s="120">
        <f t="shared" si="3"/>
        <v>34.5</v>
      </c>
      <c r="S11" s="120">
        <f t="shared" si="3"/>
        <v>34.5</v>
      </c>
    </row>
    <row r="12" spans="2:19" ht="14.4" customHeight="1" thickTop="1" thickBot="1" x14ac:dyDescent="0.35">
      <c r="B12" t="s">
        <v>67</v>
      </c>
      <c r="C12" s="30" t="s">
        <v>26</v>
      </c>
      <c r="D12" s="30" t="s">
        <v>223</v>
      </c>
      <c r="E12" s="30" t="s">
        <v>227</v>
      </c>
      <c r="F12" s="81">
        <v>1</v>
      </c>
      <c r="G12" s="82">
        <v>42370</v>
      </c>
      <c r="H12" s="83">
        <f t="shared" ca="1" si="0"/>
        <v>10.616438356164384</v>
      </c>
      <c r="I12" s="84">
        <f t="shared" ca="1" si="1"/>
        <v>102.61780819061606</v>
      </c>
      <c r="J12" s="84">
        <f t="shared" ca="1" si="2"/>
        <v>110.82723284586535</v>
      </c>
      <c r="K12" s="30">
        <v>1</v>
      </c>
      <c r="M12" s="53" t="s">
        <v>31</v>
      </c>
      <c r="N12" s="120">
        <f t="shared" ref="N12:R12" si="4">SUM(N5:N11)</f>
        <v>2228.11</v>
      </c>
      <c r="O12" s="120">
        <f t="shared" si="4"/>
        <v>2582.3739999999998</v>
      </c>
      <c r="P12" s="120">
        <f t="shared" ca="1" si="4"/>
        <v>2666.6482941313566</v>
      </c>
      <c r="Q12" s="120">
        <f t="shared" ca="1" si="4"/>
        <v>2683.839960622232</v>
      </c>
      <c r="R12" s="120">
        <f t="shared" ca="1" si="4"/>
        <v>2644.3821672722484</v>
      </c>
      <c r="S12" s="120">
        <f t="shared" ref="S12" ca="1" si="5">SUM(S5:S11)</f>
        <v>2615.7646747303893</v>
      </c>
    </row>
    <row r="13" spans="2:19" ht="14.4" customHeight="1" thickTop="1" thickBot="1" x14ac:dyDescent="0.35">
      <c r="B13" t="s">
        <v>68</v>
      </c>
      <c r="C13" s="30" t="s">
        <v>26</v>
      </c>
      <c r="D13" s="30" t="s">
        <v>223</v>
      </c>
      <c r="E13" s="30" t="s">
        <v>227</v>
      </c>
      <c r="F13" s="81">
        <v>1</v>
      </c>
      <c r="G13" s="82">
        <v>42005</v>
      </c>
      <c r="H13" s="83">
        <f t="shared" ca="1" si="0"/>
        <v>11.616438356164384</v>
      </c>
      <c r="I13" s="84">
        <f t="shared" ca="1" si="1"/>
        <v>97.525089344648961</v>
      </c>
      <c r="J13" s="84">
        <f t="shared" ca="1" si="2"/>
        <v>105.32709649222089</v>
      </c>
      <c r="K13" s="30">
        <v>1</v>
      </c>
      <c r="M13" s="46"/>
      <c r="N13" s="139"/>
      <c r="O13" s="139"/>
      <c r="P13" s="139"/>
      <c r="Q13" s="139"/>
      <c r="R13" s="139"/>
      <c r="S13" s="139"/>
    </row>
    <row r="14" spans="2:19" ht="14.4" customHeight="1" thickBot="1" x14ac:dyDescent="0.35">
      <c r="B14" t="s">
        <v>69</v>
      </c>
      <c r="C14" s="30" t="s">
        <v>26</v>
      </c>
      <c r="D14" s="30" t="s">
        <v>224</v>
      </c>
      <c r="E14" s="30" t="s">
        <v>227</v>
      </c>
      <c r="F14" s="81">
        <v>1</v>
      </c>
      <c r="G14" s="82">
        <v>40909</v>
      </c>
      <c r="H14" s="83">
        <f t="shared" ca="1" si="0"/>
        <v>14.61917808219178</v>
      </c>
      <c r="I14" s="84">
        <f t="shared" ca="1" si="1"/>
        <v>80.918347993571274</v>
      </c>
      <c r="J14" s="84">
        <f t="shared" ca="1" si="2"/>
        <v>87.391815833056981</v>
      </c>
      <c r="K14" s="30">
        <v>1</v>
      </c>
      <c r="M14" s="54" t="s">
        <v>9</v>
      </c>
      <c r="N14" s="141">
        <f>'P&amp;L'!R40/1000000</f>
        <v>161.215969</v>
      </c>
      <c r="O14" s="141">
        <f>'P&amp;L'!S40/1000000</f>
        <v>161.26584</v>
      </c>
      <c r="P14" s="141">
        <f>'P&amp;L'!T40/1000000</f>
        <v>161.215969</v>
      </c>
      <c r="Q14" s="141">
        <f>'P&amp;L'!U40/1000000</f>
        <v>161.215969</v>
      </c>
      <c r="R14" s="141">
        <f>'P&amp;L'!V40/1000000</f>
        <v>161.215969</v>
      </c>
      <c r="S14" s="141">
        <f>'P&amp;L'!W40/1000000</f>
        <v>161.215969</v>
      </c>
    </row>
    <row r="15" spans="2:19" ht="14.4" customHeight="1" thickTop="1" thickBot="1" x14ac:dyDescent="0.35">
      <c r="B15" t="s">
        <v>70</v>
      </c>
      <c r="C15" s="30" t="s">
        <v>26</v>
      </c>
      <c r="D15" s="30" t="s">
        <v>223</v>
      </c>
      <c r="E15" s="30" t="s">
        <v>227</v>
      </c>
      <c r="F15" s="81">
        <v>1</v>
      </c>
      <c r="G15" s="82">
        <v>40909</v>
      </c>
      <c r="H15" s="83">
        <f t="shared" ca="1" si="0"/>
        <v>14.61917808219178</v>
      </c>
      <c r="I15" s="84">
        <f t="shared" ca="1" si="1"/>
        <v>80.918347993571274</v>
      </c>
      <c r="J15" s="84">
        <f t="shared" ca="1" si="2"/>
        <v>87.391815833056981</v>
      </c>
      <c r="K15" s="30">
        <v>1</v>
      </c>
      <c r="M15" s="56"/>
      <c r="N15" s="140"/>
      <c r="O15" s="140"/>
      <c r="P15" s="140"/>
      <c r="Q15" s="140"/>
      <c r="R15" s="140"/>
      <c r="S15" s="140"/>
    </row>
    <row r="16" spans="2:19" ht="14.4" customHeight="1" thickTop="1" thickBot="1" x14ac:dyDescent="0.35">
      <c r="B16" t="s">
        <v>71</v>
      </c>
      <c r="C16" s="30" t="s">
        <v>26</v>
      </c>
      <c r="D16" s="30" t="s">
        <v>223</v>
      </c>
      <c r="E16" s="30" t="s">
        <v>227</v>
      </c>
      <c r="F16" s="81">
        <v>1</v>
      </c>
      <c r="G16" s="82">
        <v>40909</v>
      </c>
      <c r="H16" s="83">
        <f t="shared" ca="1" si="0"/>
        <v>14.61917808219178</v>
      </c>
      <c r="I16" s="84">
        <f t="shared" ca="1" si="1"/>
        <v>80.918347993571274</v>
      </c>
      <c r="J16" s="84">
        <f t="shared" ca="1" si="2"/>
        <v>87.391815833056981</v>
      </c>
      <c r="K16" s="30">
        <v>1</v>
      </c>
      <c r="M16" s="50" t="s">
        <v>32</v>
      </c>
      <c r="N16" s="120">
        <f t="shared" ref="N16:R16" si="6">N12/N14</f>
        <v>13.820653213330251</v>
      </c>
      <c r="O16" s="120">
        <f t="shared" si="6"/>
        <v>16.013149467984043</v>
      </c>
      <c r="P16" s="120">
        <f t="shared" ca="1" si="6"/>
        <v>16.540844623967473</v>
      </c>
      <c r="Q16" s="120">
        <f t="shared" ca="1" si="6"/>
        <v>16.647482115262612</v>
      </c>
      <c r="R16" s="120">
        <f t="shared" ca="1" si="6"/>
        <v>16.402730968122942</v>
      </c>
      <c r="S16" s="120">
        <f t="shared" ref="S16" ca="1" si="7">S12/S14</f>
        <v>16.225220683506787</v>
      </c>
    </row>
    <row r="17" spans="2:19" ht="14.4" customHeight="1" thickTop="1" thickBot="1" x14ac:dyDescent="0.35">
      <c r="B17" t="s">
        <v>74</v>
      </c>
      <c r="C17" s="30" t="s">
        <v>26</v>
      </c>
      <c r="D17" s="30" t="s">
        <v>223</v>
      </c>
      <c r="E17" s="30" t="s">
        <v>227</v>
      </c>
      <c r="F17" s="81">
        <v>1</v>
      </c>
      <c r="G17" s="82">
        <v>40544</v>
      </c>
      <c r="H17" s="83">
        <f t="shared" ca="1" si="0"/>
        <v>15.61917808219178</v>
      </c>
      <c r="I17" s="84">
        <f t="shared" ca="1" si="1"/>
        <v>75.12503776853724</v>
      </c>
      <c r="J17" s="84">
        <f t="shared" ca="1" si="2"/>
        <v>81.135040790020227</v>
      </c>
      <c r="K17" s="30">
        <v>1</v>
      </c>
      <c r="M17" s="136" t="s">
        <v>154</v>
      </c>
      <c r="N17" s="137">
        <f>'P&amp;L'!Q35</f>
        <v>0.4108783809134321</v>
      </c>
      <c r="O17" s="137">
        <v>0.64</v>
      </c>
      <c r="P17" s="137">
        <v>1.22</v>
      </c>
      <c r="Q17" s="138">
        <f>'P&amp;L'!T45</f>
        <v>1.3187914405675283</v>
      </c>
      <c r="R17" s="138">
        <f>'P&amp;L'!U45</f>
        <v>1.332021603889624</v>
      </c>
      <c r="S17" s="138">
        <f>'P&amp;L'!V45</f>
        <v>0.99384771790194071</v>
      </c>
    </row>
    <row r="18" spans="2:19" ht="14.4" customHeight="1" thickBot="1" x14ac:dyDescent="0.35">
      <c r="B18" t="s">
        <v>75</v>
      </c>
      <c r="C18" s="30" t="s">
        <v>26</v>
      </c>
      <c r="D18" s="30" t="s">
        <v>223</v>
      </c>
      <c r="E18" s="30" t="s">
        <v>227</v>
      </c>
      <c r="F18" s="81">
        <v>1</v>
      </c>
      <c r="G18" s="82">
        <v>40544</v>
      </c>
      <c r="H18" s="83">
        <f t="shared" ca="1" si="0"/>
        <v>15.61917808219178</v>
      </c>
      <c r="I18" s="84">
        <f t="shared" ca="1" si="1"/>
        <v>75.12503776853724</v>
      </c>
      <c r="J18" s="84">
        <f t="shared" ca="1" si="2"/>
        <v>81.135040790020227</v>
      </c>
      <c r="K18" s="30">
        <v>1</v>
      </c>
      <c r="M18" s="133" t="s">
        <v>33</v>
      </c>
      <c r="N18" s="151">
        <f>SUM($M$2/(N16))</f>
        <v>1.2908217668607025</v>
      </c>
      <c r="O18" s="151">
        <f>SUM($M$2/(O16))</f>
        <v>1.1140843989290476</v>
      </c>
      <c r="P18" s="151">
        <f ca="1">SUM($M$2/(P16))</f>
        <v>1.0785422634434318</v>
      </c>
      <c r="Q18" s="151">
        <f ca="1">SUM($M$2/(Q16+Q17))</f>
        <v>0.99297163346434936</v>
      </c>
      <c r="R18" s="151">
        <f ca="1">SUM($M$2/(R16+R17))</f>
        <v>1.0059345303837801</v>
      </c>
      <c r="S18" s="151">
        <f ca="1">SUM($M$2/(S16+S17))</f>
        <v>1.0360606964393309</v>
      </c>
    </row>
    <row r="19" spans="2:19" ht="14.4" customHeight="1" x14ac:dyDescent="0.3">
      <c r="B19" t="s">
        <v>83</v>
      </c>
      <c r="C19" s="30" t="s">
        <v>26</v>
      </c>
      <c r="D19" s="30" t="s">
        <v>223</v>
      </c>
      <c r="E19" s="30" t="s">
        <v>227</v>
      </c>
      <c r="F19" s="81">
        <v>1</v>
      </c>
      <c r="G19" s="82">
        <v>43101</v>
      </c>
      <c r="H19" s="83">
        <f t="shared" ca="1" si="0"/>
        <v>8.6136986301369856</v>
      </c>
      <c r="I19" s="84">
        <f t="shared" ca="1" si="1"/>
        <v>111.8437590485505</v>
      </c>
      <c r="J19" s="84">
        <f t="shared" ca="1" si="2"/>
        <v>120.79125977243454</v>
      </c>
      <c r="K19" s="30">
        <v>1</v>
      </c>
      <c r="M19" s="39"/>
    </row>
    <row r="20" spans="2:19" ht="14.4" customHeight="1" thickBot="1" x14ac:dyDescent="0.35">
      <c r="B20" t="s">
        <v>210</v>
      </c>
      <c r="C20" s="30" t="s">
        <v>26</v>
      </c>
      <c r="D20" s="30" t="s">
        <v>223</v>
      </c>
      <c r="E20" s="30" t="s">
        <v>227</v>
      </c>
      <c r="F20" s="81">
        <v>1</v>
      </c>
      <c r="G20" s="82">
        <v>43101</v>
      </c>
      <c r="H20" s="83">
        <f t="shared" ca="1" si="0"/>
        <v>8.6136986301369856</v>
      </c>
      <c r="I20" s="84">
        <f t="shared" ca="1" si="1"/>
        <v>111.8437590485505</v>
      </c>
      <c r="J20" s="84">
        <f t="shared" ca="1" si="2"/>
        <v>120.79125977243454</v>
      </c>
      <c r="K20" s="30">
        <v>1</v>
      </c>
      <c r="M20" s="39"/>
    </row>
    <row r="21" spans="2:19" ht="14.4" customHeight="1" x14ac:dyDescent="0.3">
      <c r="B21" s="29" t="s">
        <v>211</v>
      </c>
      <c r="C21" s="30" t="s">
        <v>26</v>
      </c>
      <c r="D21" s="70" t="s">
        <v>225</v>
      </c>
      <c r="E21" s="30" t="s">
        <v>227</v>
      </c>
      <c r="F21" s="81">
        <v>1</v>
      </c>
      <c r="G21" s="85">
        <v>46054</v>
      </c>
      <c r="H21" s="83">
        <f t="shared" ref="H21:H24" ca="1" si="8">(TODAY()-G21)/365</f>
        <v>0.52328767123287667</v>
      </c>
      <c r="I21" s="84">
        <f t="shared" ca="1" si="1"/>
        <v>127.97789530036989</v>
      </c>
      <c r="J21" s="84">
        <f t="shared" ca="1" si="2"/>
        <v>138.2161269243995</v>
      </c>
      <c r="K21" s="30">
        <v>1</v>
      </c>
      <c r="M21" s="71" t="s">
        <v>162</v>
      </c>
      <c r="N21" s="147"/>
      <c r="O21" s="166"/>
      <c r="P21" s="128">
        <v>1</v>
      </c>
      <c r="Q21" s="128">
        <v>0.995</v>
      </c>
      <c r="R21" s="128">
        <v>0.99</v>
      </c>
      <c r="S21" s="129">
        <v>0.98499999999999999</v>
      </c>
    </row>
    <row r="22" spans="2:19" ht="14.4" customHeight="1" x14ac:dyDescent="0.3">
      <c r="B22" s="29" t="s">
        <v>212</v>
      </c>
      <c r="C22" s="70" t="s">
        <v>26</v>
      </c>
      <c r="D22" s="70" t="s">
        <v>225</v>
      </c>
      <c r="E22" s="30" t="s">
        <v>227</v>
      </c>
      <c r="F22" s="86">
        <v>1</v>
      </c>
      <c r="G22" s="85">
        <v>46082</v>
      </c>
      <c r="H22" s="83">
        <f t="shared" ca="1" si="8"/>
        <v>0.44657534246575342</v>
      </c>
      <c r="I22" s="84">
        <f t="shared" ca="1" si="1"/>
        <v>127.91302118255099</v>
      </c>
      <c r="J22" s="84">
        <f t="shared" ca="1" si="2"/>
        <v>138.14606287715509</v>
      </c>
      <c r="K22" s="30">
        <v>1</v>
      </c>
      <c r="M22" s="66" t="s">
        <v>179</v>
      </c>
      <c r="N22" s="64"/>
      <c r="O22" s="64">
        <f t="shared" ref="O22:S22" si="9">O5/N5-1</f>
        <v>8.8521335589472061E-2</v>
      </c>
      <c r="P22" s="64">
        <f t="shared" ca="1" si="9"/>
        <v>-4.2824387949730314E-3</v>
      </c>
      <c r="Q22" s="64">
        <f t="shared" ca="1" si="9"/>
        <v>-5.0000000000000044E-3</v>
      </c>
      <c r="R22" s="64">
        <f t="shared" ca="1" si="9"/>
        <v>-5.0251256281407253E-3</v>
      </c>
      <c r="S22" s="67">
        <f t="shared" ca="1" si="9"/>
        <v>-5.050505050504861E-3</v>
      </c>
    </row>
    <row r="23" spans="2:19" ht="14.4" customHeight="1" x14ac:dyDescent="0.3">
      <c r="B23" s="29" t="s">
        <v>213</v>
      </c>
      <c r="C23" s="70" t="s">
        <v>26</v>
      </c>
      <c r="D23" s="30" t="s">
        <v>223</v>
      </c>
      <c r="E23" s="30" t="s">
        <v>227</v>
      </c>
      <c r="F23" s="86">
        <v>1</v>
      </c>
      <c r="G23" s="85">
        <v>46082</v>
      </c>
      <c r="H23" s="83">
        <f t="shared" ca="1" si="8"/>
        <v>0.44657534246575342</v>
      </c>
      <c r="I23" s="84">
        <f t="shared" ca="1" si="1"/>
        <v>127.91302118255099</v>
      </c>
      <c r="J23" s="84">
        <f t="shared" ca="1" si="2"/>
        <v>138.14606287715509</v>
      </c>
      <c r="K23" s="30">
        <v>1</v>
      </c>
      <c r="M23" s="65" t="s">
        <v>80</v>
      </c>
      <c r="N23" s="31"/>
      <c r="O23" s="31">
        <f>COUNT($K$2:$K$24)</f>
        <v>23</v>
      </c>
      <c r="P23" s="31">
        <f>COUNT($K$2:$K$24)</f>
        <v>23</v>
      </c>
      <c r="Q23" s="31">
        <f>COUNT($K$2:$K$24)</f>
        <v>23</v>
      </c>
      <c r="R23" s="31">
        <f>COUNT($K$2:$K$24)</f>
        <v>23</v>
      </c>
      <c r="S23" s="73">
        <f>COUNT($K$2:$K$24)</f>
        <v>23</v>
      </c>
    </row>
    <row r="24" spans="2:19" ht="14.4" customHeight="1" x14ac:dyDescent="0.3">
      <c r="B24" s="164" t="s">
        <v>214</v>
      </c>
      <c r="C24" s="30" t="s">
        <v>26</v>
      </c>
      <c r="D24" s="30" t="s">
        <v>223</v>
      </c>
      <c r="E24" s="30" t="s">
        <v>227</v>
      </c>
      <c r="F24" s="81">
        <v>1</v>
      </c>
      <c r="G24" s="165">
        <v>46204</v>
      </c>
      <c r="H24" s="83">
        <f t="shared" ca="1" si="8"/>
        <v>0.11232876712328767</v>
      </c>
      <c r="I24" s="84">
        <f t="shared" ca="1" si="1"/>
        <v>127.57238426564179</v>
      </c>
      <c r="J24" s="84">
        <f t="shared" ca="1" si="2"/>
        <v>137.77817500689315</v>
      </c>
      <c r="K24" s="30">
        <v>1</v>
      </c>
      <c r="M24" s="65" t="s">
        <v>175</v>
      </c>
      <c r="N24" s="31"/>
      <c r="O24" s="31">
        <f ca="1">COUNT($H$2:$H$27)</f>
        <v>23</v>
      </c>
      <c r="P24" s="31">
        <f ca="1">COUNT($H$2:$H$24)</f>
        <v>23</v>
      </c>
      <c r="Q24" s="31">
        <f ca="1">COUNT($H$2:$H$24)</f>
        <v>23</v>
      </c>
      <c r="R24" s="31">
        <f ca="1">COUNT($H$2:$H$24)</f>
        <v>23</v>
      </c>
      <c r="S24" s="73">
        <f ca="1">COUNT($H$2:$H$24)</f>
        <v>23</v>
      </c>
    </row>
    <row r="25" spans="2:19" ht="14.4" customHeight="1" thickBot="1" x14ac:dyDescent="0.35">
      <c r="B25" s="164" t="s">
        <v>272</v>
      </c>
      <c r="C25" s="30" t="s">
        <v>26</v>
      </c>
      <c r="D25" s="30" t="s">
        <v>225</v>
      </c>
      <c r="E25" s="30" t="s">
        <v>227</v>
      </c>
      <c r="F25" s="30"/>
      <c r="G25" s="165">
        <v>46753</v>
      </c>
      <c r="H25" s="30"/>
      <c r="I25" s="30"/>
      <c r="J25" s="30"/>
      <c r="K25" s="30">
        <v>1</v>
      </c>
      <c r="M25" s="74" t="s">
        <v>176</v>
      </c>
      <c r="N25" s="76"/>
      <c r="O25" s="76">
        <v>1</v>
      </c>
      <c r="P25" s="76">
        <v>1</v>
      </c>
      <c r="Q25" s="76">
        <v>1</v>
      </c>
      <c r="R25" s="76">
        <v>1</v>
      </c>
      <c r="S25" s="77">
        <v>1</v>
      </c>
    </row>
    <row r="26" spans="2:19" ht="14.4" customHeight="1" thickBot="1" x14ac:dyDescent="0.35">
      <c r="B26" s="37"/>
      <c r="C26" s="30"/>
      <c r="D26" s="30"/>
      <c r="E26" s="30"/>
      <c r="F26" s="30"/>
      <c r="G26" s="30"/>
      <c r="H26" s="30"/>
      <c r="I26" s="30"/>
      <c r="J26" s="30"/>
      <c r="K26" s="30"/>
      <c r="M26" s="39"/>
      <c r="N26" s="72"/>
      <c r="O26" s="72"/>
      <c r="P26" s="72"/>
      <c r="Q26" s="72"/>
      <c r="R26" s="72"/>
      <c r="S26" s="72"/>
    </row>
    <row r="27" spans="2:19" ht="14.4" customHeight="1" x14ac:dyDescent="0.3">
      <c r="C27" s="30"/>
      <c r="D27" s="30"/>
      <c r="E27" s="30"/>
      <c r="F27" s="30"/>
      <c r="G27" s="30"/>
      <c r="H27" s="30"/>
      <c r="I27" s="30"/>
      <c r="J27" s="30"/>
      <c r="K27" s="30"/>
      <c r="M27" s="93" t="s">
        <v>267</v>
      </c>
      <c r="N27" s="142">
        <v>78800</v>
      </c>
      <c r="O27" s="142">
        <v>126700</v>
      </c>
      <c r="P27" s="143">
        <f>152700*0.9</f>
        <v>137430</v>
      </c>
      <c r="Q27" s="143">
        <f>P27*0.98</f>
        <v>134681.4</v>
      </c>
      <c r="R27" s="143">
        <f>Q27*0.8</f>
        <v>107745.12</v>
      </c>
      <c r="S27" s="144">
        <f>R27*0.8</f>
        <v>86196.096000000005</v>
      </c>
    </row>
    <row r="28" spans="2:19" ht="14.4" customHeight="1" x14ac:dyDescent="0.3">
      <c r="B28" s="69" t="s">
        <v>174</v>
      </c>
      <c r="M28" s="94" t="s">
        <v>58</v>
      </c>
      <c r="N28" s="26">
        <v>14</v>
      </c>
      <c r="O28" s="26">
        <v>14</v>
      </c>
      <c r="P28" s="26">
        <v>14</v>
      </c>
      <c r="Q28" s="26">
        <v>14</v>
      </c>
      <c r="R28" s="26">
        <v>14</v>
      </c>
      <c r="S28" s="150">
        <v>14</v>
      </c>
    </row>
    <row r="29" spans="2:19" ht="14.4" customHeight="1" thickBot="1" x14ac:dyDescent="0.35">
      <c r="B29" s="164" t="s">
        <v>269</v>
      </c>
      <c r="M29" s="95" t="s">
        <v>243</v>
      </c>
      <c r="N29" s="145"/>
      <c r="O29" s="145"/>
      <c r="P29" s="145">
        <f ca="1">P28/P24</f>
        <v>0.60869565217391308</v>
      </c>
      <c r="Q29" s="145">
        <f ca="1">Q28/Q24</f>
        <v>0.60869565217391308</v>
      </c>
      <c r="R29" s="145">
        <f ca="1">R28/R24</f>
        <v>0.60869565217391308</v>
      </c>
      <c r="S29" s="146">
        <f ca="1">S28/S24</f>
        <v>0.60869565217391308</v>
      </c>
    </row>
    <row r="30" spans="2:19" ht="14.4" customHeight="1" x14ac:dyDescent="0.3">
      <c r="B30" s="29"/>
      <c r="M30" s="39"/>
      <c r="N30" s="28"/>
      <c r="O30" s="28"/>
      <c r="P30" s="28"/>
      <c r="Q30" s="28"/>
      <c r="R30" s="28"/>
      <c r="S30" s="28"/>
    </row>
    <row r="31" spans="2:19" ht="14.4" customHeight="1" thickBot="1" x14ac:dyDescent="0.35">
      <c r="M31" s="119" t="s">
        <v>244</v>
      </c>
      <c r="N31" s="31"/>
      <c r="O31" s="31"/>
      <c r="P31" s="31"/>
      <c r="Q31" s="124" t="s">
        <v>177</v>
      </c>
      <c r="R31" s="124"/>
      <c r="S31" s="124" t="s">
        <v>242</v>
      </c>
    </row>
    <row r="32" spans="2:19" ht="14.4" customHeight="1" x14ac:dyDescent="0.3">
      <c r="M32" s="93" t="s">
        <v>163</v>
      </c>
      <c r="N32" s="62"/>
      <c r="O32" s="62"/>
      <c r="P32" s="62"/>
      <c r="Q32" s="126">
        <f>$M$2*Q14</f>
        <v>2876.0928869600002</v>
      </c>
      <c r="R32" s="126"/>
      <c r="S32" s="79">
        <f>$M$2*S14</f>
        <v>2876.0928869600002</v>
      </c>
    </row>
    <row r="33" spans="1:19" ht="14.4" customHeight="1" thickBot="1" x14ac:dyDescent="0.35">
      <c r="B33" s="37" t="s">
        <v>194</v>
      </c>
      <c r="M33" s="94" t="s">
        <v>164</v>
      </c>
      <c r="N33" s="55"/>
      <c r="O33" s="55"/>
      <c r="P33" s="55"/>
      <c r="Q33" s="113">
        <f>Q32-Q6-Q7-Q8</f>
        <v>2966.7053516941678</v>
      </c>
      <c r="R33" s="113"/>
      <c r="S33" s="80">
        <f>S32-S6-S7-S8</f>
        <v>3008.9028343160971</v>
      </c>
    </row>
    <row r="34" spans="1:19" ht="14.4" customHeight="1" thickBot="1" x14ac:dyDescent="0.35">
      <c r="B34" s="92" t="s">
        <v>26</v>
      </c>
      <c r="C34" s="88">
        <f>'[2]Cleaves Vessels Value'!$C$11</f>
        <v>8.7407407407407243E-3</v>
      </c>
      <c r="D34" s="88">
        <f>'[2]Cleaves Vessels Value'!$D$11</f>
        <v>-0.43149206349206304</v>
      </c>
      <c r="E34" s="88">
        <f>'[2]Cleaves Vessels Value'!$E$11</f>
        <v>1.2579894179894169</v>
      </c>
      <c r="F34" s="87">
        <f>'[2]Cleaves Vessels Value'!$F$11</f>
        <v>127.43650793650792</v>
      </c>
      <c r="L34" s="125"/>
      <c r="M34" s="94" t="s">
        <v>221</v>
      </c>
      <c r="N34" s="55"/>
      <c r="O34" s="55"/>
      <c r="P34" s="55"/>
      <c r="Q34" s="121">
        <f>SUM('P&amp;L'!R45:U45)</f>
        <v>4.5291050406504896</v>
      </c>
      <c r="R34" s="121"/>
      <c r="S34" s="117">
        <f>SUM('P&amp;L'!T45:W45)</f>
        <v>4.3679693714708865</v>
      </c>
    </row>
    <row r="35" spans="1:19" ht="14.4" customHeight="1" x14ac:dyDescent="0.3">
      <c r="A35" s="29"/>
      <c r="B35" s="162"/>
      <c r="C35" s="163"/>
      <c r="D35" s="163"/>
      <c r="E35" s="163"/>
      <c r="F35" s="163"/>
      <c r="M35" s="94" t="s">
        <v>217</v>
      </c>
      <c r="N35" s="55"/>
      <c r="O35" s="55"/>
      <c r="P35" s="55"/>
      <c r="Q35" s="113">
        <f>SUM('P&amp;L'!R19:U19)/1000</f>
        <v>859.39039359999981</v>
      </c>
      <c r="R35" s="113"/>
      <c r="S35" s="80">
        <f>SUM('P&amp;L'!T19:W19)/1000</f>
        <v>839.67441478400008</v>
      </c>
    </row>
    <row r="36" spans="1:19" ht="14.4" customHeight="1" x14ac:dyDescent="0.3">
      <c r="B36" s="162"/>
      <c r="C36" s="163"/>
      <c r="D36" s="163"/>
      <c r="E36" s="163"/>
      <c r="F36" s="163"/>
      <c r="M36" s="94" t="s">
        <v>239</v>
      </c>
      <c r="N36" s="55"/>
      <c r="O36" s="55"/>
      <c r="P36" s="55"/>
      <c r="Q36" s="121">
        <f>SUM(N17:Q17)</f>
        <v>3.5896698214809604</v>
      </c>
      <c r="R36" s="121"/>
      <c r="S36" s="117">
        <f>SUM(P17:S17)</f>
        <v>4.8646607623590921</v>
      </c>
    </row>
    <row r="37" spans="1:19" ht="14.4" customHeight="1" x14ac:dyDescent="0.3">
      <c r="M37" s="94" t="s">
        <v>218</v>
      </c>
      <c r="N37" s="55"/>
      <c r="O37" s="55"/>
      <c r="P37" s="55"/>
      <c r="Q37" s="113">
        <f>SUM(CashFlow!R62:U62)/1000</f>
        <v>790.74939359999985</v>
      </c>
      <c r="R37" s="113"/>
      <c r="S37" s="80">
        <f>SUM(CashFlow!T62:W62)/1000</f>
        <v>815.18641478400002</v>
      </c>
    </row>
    <row r="38" spans="1:19" ht="14.4" customHeight="1" x14ac:dyDescent="0.3">
      <c r="B38" s="37" t="s">
        <v>266</v>
      </c>
      <c r="M38" s="94" t="s">
        <v>222</v>
      </c>
      <c r="N38" s="68"/>
      <c r="O38" s="68"/>
      <c r="P38" s="68"/>
      <c r="Q38" s="114">
        <f>$M$2/Q34</f>
        <v>3.9389680389125492</v>
      </c>
      <c r="R38" s="114"/>
      <c r="S38" s="78">
        <f>$M$2/S34</f>
        <v>4.0842777233102465</v>
      </c>
    </row>
    <row r="39" spans="1:19" ht="14.4" customHeight="1" x14ac:dyDescent="0.3">
      <c r="B39" s="31" t="s">
        <v>228</v>
      </c>
      <c r="C39" s="161">
        <v>1.08</v>
      </c>
      <c r="M39" s="94" t="s">
        <v>216</v>
      </c>
      <c r="N39" s="68"/>
      <c r="O39" s="68"/>
      <c r="P39" s="68"/>
      <c r="Q39" s="114">
        <f>Q33/Q35</f>
        <v>3.4521043914240099</v>
      </c>
      <c r="R39" s="114"/>
      <c r="S39" s="78">
        <f>S33/S35</f>
        <v>3.5834161209855546</v>
      </c>
    </row>
    <row r="40" spans="1:19" ht="14.4" customHeight="1" x14ac:dyDescent="0.3">
      <c r="B40" s="31" t="s">
        <v>229</v>
      </c>
      <c r="C40" s="161">
        <v>1.07</v>
      </c>
      <c r="M40" s="94" t="s">
        <v>219</v>
      </c>
      <c r="N40" s="31"/>
      <c r="O40" s="31"/>
      <c r="P40" s="31"/>
      <c r="Q40" s="114">
        <f>$M$2/(Q37/Q14)</f>
        <v>3.6371736864269666</v>
      </c>
      <c r="R40" s="114"/>
      <c r="S40" s="78">
        <f>$M$2/(S37/S14)</f>
        <v>3.5281413365089973</v>
      </c>
    </row>
    <row r="41" spans="1:19" ht="14.4" customHeight="1" thickBot="1" x14ac:dyDescent="0.35">
      <c r="B41" s="31" t="s">
        <v>264</v>
      </c>
      <c r="C41" s="161">
        <v>1.02</v>
      </c>
      <c r="M41" s="95" t="s">
        <v>240</v>
      </c>
      <c r="N41" s="75"/>
      <c r="O41" s="75"/>
      <c r="P41" s="75"/>
      <c r="Q41" s="127">
        <f>Q36/$M$2</f>
        <v>0.2012146760919821</v>
      </c>
      <c r="R41" s="127"/>
      <c r="S41" s="122">
        <f>S36/$M$2</f>
        <v>0.27268277815914194</v>
      </c>
    </row>
    <row r="42" spans="1:19" ht="14.4" customHeight="1" x14ac:dyDescent="0.3">
      <c r="B42" s="31" t="s">
        <v>230</v>
      </c>
      <c r="C42" s="161">
        <v>1</v>
      </c>
      <c r="M42" s="31"/>
      <c r="N42" s="31"/>
      <c r="O42" s="31"/>
      <c r="P42" s="31"/>
    </row>
    <row r="53" spans="13:13" ht="14.4" customHeight="1" x14ac:dyDescent="0.3">
      <c r="M53" s="30"/>
    </row>
    <row r="54" spans="13:13" ht="14.4" customHeight="1" x14ac:dyDescent="0.3">
      <c r="M54" s="30"/>
    </row>
    <row r="55" spans="13:13" ht="14.4" customHeight="1" x14ac:dyDescent="0.3">
      <c r="M55" s="36"/>
    </row>
  </sheetData>
  <pageMargins left="0.7" right="0.7" top="0.75" bottom="0.75" header="0.3" footer="0.3"/>
  <pageSetup paperSize="9" orientation="portrait" horizontalDpi="0" verticalDpi="0" r:id="rId1"/>
  <ignoredErrors>
    <ignoredError sqref="N18"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dimension ref="A1:W109"/>
  <sheetViews>
    <sheetView showGridLines="0" zoomScale="85" zoomScaleNormal="85" workbookViewId="0">
      <pane xSplit="2" ySplit="1" topLeftCell="O2" activePane="bottomRight" state="frozen"/>
      <selection pane="topRight" activeCell="C1" sqref="C1"/>
      <selection pane="bottomLeft" activeCell="A2" sqref="A2"/>
      <selection pane="bottomRight" activeCell="W2" sqref="W2"/>
    </sheetView>
  </sheetViews>
  <sheetFormatPr baseColWidth="10" defaultColWidth="12.77734375" defaultRowHeight="14.4" customHeight="1" outlineLevelCol="1" x14ac:dyDescent="0.3"/>
  <cols>
    <col min="1" max="1" width="2.77734375" style="154" customWidth="1"/>
    <col min="2" max="2" width="50.77734375" style="1" customWidth="1"/>
    <col min="3" max="13" width="12.77734375" style="1" hidden="1" customWidth="1" outlineLevel="1"/>
    <col min="14" max="14" width="12.77734375" style="1" customWidth="1" collapsed="1"/>
    <col min="15" max="26" width="12.77734375" style="1" customWidth="1"/>
    <col min="27" max="16384" width="12.77734375" style="1"/>
  </cols>
  <sheetData>
    <row r="1" spans="1:23" customFormat="1" ht="14.4" customHeight="1" x14ac:dyDescent="0.3">
      <c r="A1" s="153"/>
      <c r="B1" s="7" t="s">
        <v>148</v>
      </c>
      <c r="C1" s="8">
        <f>D1-1</f>
        <v>2021</v>
      </c>
      <c r="D1" s="8">
        <v>2022</v>
      </c>
      <c r="E1" s="8">
        <v>2023</v>
      </c>
      <c r="F1" s="8" t="s">
        <v>12</v>
      </c>
      <c r="G1" s="8" t="s">
        <v>13</v>
      </c>
      <c r="H1" s="8" t="s">
        <v>11</v>
      </c>
      <c r="I1" s="8" t="s">
        <v>14</v>
      </c>
      <c r="J1" s="8" t="s">
        <v>48</v>
      </c>
      <c r="K1" s="8" t="s">
        <v>49</v>
      </c>
      <c r="L1" s="8" t="s">
        <v>50</v>
      </c>
      <c r="M1" s="8" t="s">
        <v>28</v>
      </c>
      <c r="N1" s="8" t="s">
        <v>157</v>
      </c>
      <c r="O1" s="8" t="s">
        <v>158</v>
      </c>
      <c r="P1" s="8" t="s">
        <v>159</v>
      </c>
      <c r="Q1" s="8" t="s">
        <v>160</v>
      </c>
      <c r="R1" s="8" t="s">
        <v>169</v>
      </c>
      <c r="S1" s="8" t="s">
        <v>170</v>
      </c>
      <c r="T1" s="2" t="s">
        <v>171</v>
      </c>
      <c r="U1" s="2" t="s">
        <v>172</v>
      </c>
      <c r="V1" s="2" t="s">
        <v>241</v>
      </c>
      <c r="W1" s="2" t="s">
        <v>300</v>
      </c>
    </row>
    <row r="2" spans="1:23" ht="14.4" customHeight="1" x14ac:dyDescent="0.3">
      <c r="B2" t="s">
        <v>84</v>
      </c>
      <c r="C2" s="26">
        <v>295853</v>
      </c>
      <c r="D2" s="26">
        <v>450382</v>
      </c>
      <c r="E2" s="26">
        <f>SUM(F2:I2)</f>
        <v>556075</v>
      </c>
      <c r="F2" s="26">
        <v>131468</v>
      </c>
      <c r="G2" s="26">
        <v>151993</v>
      </c>
      <c r="H2" s="26">
        <v>130322</v>
      </c>
      <c r="I2" s="26">
        <v>142292</v>
      </c>
      <c r="J2" s="26">
        <v>145876</v>
      </c>
      <c r="K2" s="26">
        <v>150066</v>
      </c>
      <c r="L2" s="26">
        <v>141125</v>
      </c>
      <c r="M2" s="26">
        <v>130768</v>
      </c>
      <c r="N2" s="26">
        <v>118165</v>
      </c>
      <c r="O2" s="26">
        <v>127950</v>
      </c>
      <c r="P2" s="26">
        <v>107151</v>
      </c>
      <c r="Q2" s="26">
        <v>143931</v>
      </c>
      <c r="R2" s="26">
        <v>186285</v>
      </c>
      <c r="S2" s="26">
        <v>284819</v>
      </c>
      <c r="T2" s="26">
        <f>SUM(T81:T109)/1000</f>
        <v>270462.24</v>
      </c>
      <c r="U2" s="26">
        <f>SUM(U81:U109)/1000</f>
        <v>272595.1535999999</v>
      </c>
      <c r="V2" s="26">
        <f>SUM(V81:V109)/1000</f>
        <v>218076.12288000004</v>
      </c>
      <c r="W2" s="26">
        <f>SUM(W81:W109)/1000</f>
        <v>174460.89830400009</v>
      </c>
    </row>
    <row r="3" spans="1:23" ht="14.4" customHeight="1" x14ac:dyDescent="0.3">
      <c r="B3" s="174" t="s">
        <v>85</v>
      </c>
      <c r="C3" s="31"/>
      <c r="D3" s="31">
        <v>3765</v>
      </c>
      <c r="E3" s="43"/>
      <c r="F3" s="31">
        <v>1100</v>
      </c>
      <c r="G3" s="31">
        <v>1054</v>
      </c>
      <c r="H3" s="43">
        <v>1243</v>
      </c>
      <c r="I3" s="43">
        <v>1084</v>
      </c>
      <c r="J3" s="1">
        <v>1162</v>
      </c>
      <c r="K3" s="1">
        <v>1171</v>
      </c>
      <c r="L3" s="9">
        <v>982</v>
      </c>
      <c r="M3" s="9">
        <v>623</v>
      </c>
      <c r="N3" s="9">
        <v>409</v>
      </c>
      <c r="O3" s="9">
        <v>366</v>
      </c>
      <c r="P3" s="9">
        <v>197</v>
      </c>
      <c r="Q3" s="9">
        <v>232</v>
      </c>
      <c r="R3" s="9">
        <v>191</v>
      </c>
      <c r="S3" s="49">
        <v>193</v>
      </c>
      <c r="T3" s="101">
        <v>193</v>
      </c>
      <c r="U3" s="101">
        <v>193</v>
      </c>
      <c r="V3" s="101">
        <v>193</v>
      </c>
      <c r="W3" s="101">
        <v>193</v>
      </c>
    </row>
    <row r="4" spans="1:23" ht="14.4" customHeight="1" x14ac:dyDescent="0.3">
      <c r="B4" s="14" t="s">
        <v>86</v>
      </c>
      <c r="C4" s="6">
        <f>SUM(C2:C3)</f>
        <v>295853</v>
      </c>
      <c r="D4" s="6">
        <f>SUM(D2:D3)</f>
        <v>454147</v>
      </c>
      <c r="E4" s="25">
        <f t="shared" ref="E4:K4" si="0">SUM(E2:E3)</f>
        <v>556075</v>
      </c>
      <c r="F4" s="6">
        <f t="shared" si="0"/>
        <v>132568</v>
      </c>
      <c r="G4" s="6">
        <f t="shared" si="0"/>
        <v>153047</v>
      </c>
      <c r="H4" s="6">
        <f t="shared" si="0"/>
        <v>131565</v>
      </c>
      <c r="I4" s="25">
        <f t="shared" si="0"/>
        <v>143376</v>
      </c>
      <c r="J4" s="6">
        <f t="shared" si="0"/>
        <v>147038</v>
      </c>
      <c r="K4" s="6">
        <f t="shared" si="0"/>
        <v>151237</v>
      </c>
      <c r="L4" s="6">
        <f t="shared" ref="L4:M4" si="1">SUM(L2:L3)</f>
        <v>142107</v>
      </c>
      <c r="M4" s="6">
        <f t="shared" si="1"/>
        <v>131391</v>
      </c>
      <c r="N4" s="6">
        <f t="shared" ref="N4:O4" si="2">SUM(N2:N3)</f>
        <v>118574</v>
      </c>
      <c r="O4" s="6">
        <f t="shared" si="2"/>
        <v>128316</v>
      </c>
      <c r="P4" s="6">
        <f t="shared" ref="P4:Q4" si="3">SUM(P2:P3)</f>
        <v>107348</v>
      </c>
      <c r="Q4" s="6">
        <f t="shared" si="3"/>
        <v>144163</v>
      </c>
      <c r="R4" s="6">
        <f t="shared" ref="R4:S4" si="4">SUM(R2:R3)</f>
        <v>186476</v>
      </c>
      <c r="S4" s="6">
        <f t="shared" si="4"/>
        <v>285012</v>
      </c>
      <c r="T4" s="6">
        <f t="shared" ref="T4:U4" si="5">SUM(T2:T3)</f>
        <v>270655.24</v>
      </c>
      <c r="U4" s="6">
        <f t="shared" si="5"/>
        <v>272788.1535999999</v>
      </c>
      <c r="V4" s="6">
        <f t="shared" ref="V4:W4" si="6">SUM(V2:V3)</f>
        <v>218269.12288000004</v>
      </c>
      <c r="W4" s="6">
        <f t="shared" si="6"/>
        <v>174653.89830400009</v>
      </c>
    </row>
    <row r="5" spans="1:23" ht="14.4" customHeight="1" x14ac:dyDescent="0.3">
      <c r="B5" s="32"/>
      <c r="C5" s="26"/>
      <c r="D5" s="26"/>
      <c r="E5" s="26"/>
      <c r="F5" s="26"/>
      <c r="G5" s="26"/>
      <c r="H5" s="26"/>
      <c r="I5" s="26"/>
      <c r="L5" s="9"/>
    </row>
    <row r="6" spans="1:23" ht="14.4" customHeight="1" x14ac:dyDescent="0.3">
      <c r="B6" s="37" t="s">
        <v>34</v>
      </c>
      <c r="C6" s="18">
        <v>4612</v>
      </c>
      <c r="D6" s="26">
        <v>0</v>
      </c>
      <c r="E6" s="26">
        <v>0</v>
      </c>
      <c r="F6" s="26">
        <v>0</v>
      </c>
      <c r="G6" s="26">
        <v>0</v>
      </c>
      <c r="H6" s="26">
        <v>0</v>
      </c>
      <c r="I6" s="26">
        <v>0</v>
      </c>
      <c r="J6" s="1">
        <v>0</v>
      </c>
      <c r="K6" s="1">
        <v>0</v>
      </c>
      <c r="L6" s="9">
        <v>0</v>
      </c>
      <c r="M6" s="1">
        <v>0</v>
      </c>
      <c r="N6" s="1">
        <v>0</v>
      </c>
      <c r="O6" s="1">
        <v>0</v>
      </c>
      <c r="P6" s="1">
        <v>0</v>
      </c>
      <c r="Q6" s="1">
        <v>0</v>
      </c>
      <c r="R6" s="1">
        <v>0</v>
      </c>
      <c r="S6" s="49">
        <v>0</v>
      </c>
      <c r="T6" s="152">
        <v>0</v>
      </c>
      <c r="U6" s="152">
        <v>0</v>
      </c>
      <c r="V6" s="152">
        <v>0</v>
      </c>
      <c r="W6" s="152">
        <v>0</v>
      </c>
    </row>
    <row r="7" spans="1:23" ht="14.4" customHeight="1" x14ac:dyDescent="0.3">
      <c r="B7"/>
      <c r="C7" s="18"/>
      <c r="D7" s="18"/>
      <c r="E7" s="18"/>
      <c r="F7" s="18"/>
      <c r="G7" s="18"/>
      <c r="H7" s="18"/>
      <c r="I7" s="18"/>
      <c r="L7" s="9"/>
    </row>
    <row r="8" spans="1:23" ht="14.4" customHeight="1" x14ac:dyDescent="0.3">
      <c r="B8" s="38" t="s">
        <v>35</v>
      </c>
      <c r="C8" s="18"/>
      <c r="D8" s="18"/>
      <c r="E8" s="18"/>
      <c r="F8" s="18"/>
      <c r="G8" s="18"/>
      <c r="H8" s="18"/>
      <c r="I8" s="18"/>
      <c r="L8" s="9"/>
    </row>
    <row r="9" spans="1:23" ht="14.4" customHeight="1" x14ac:dyDescent="0.3">
      <c r="B9" s="41" t="s">
        <v>87</v>
      </c>
      <c r="C9" s="18">
        <v>-92405</v>
      </c>
      <c r="D9" s="18">
        <v>-185502</v>
      </c>
      <c r="E9" s="18">
        <f t="shared" ref="E9:E14" si="7">SUM(F9:I9)</f>
        <v>-165667</v>
      </c>
      <c r="F9" s="18">
        <v>-37569</v>
      </c>
      <c r="G9" s="18">
        <v>-39092</v>
      </c>
      <c r="H9" s="18">
        <v>-41235</v>
      </c>
      <c r="I9" s="48">
        <v>-47771</v>
      </c>
      <c r="J9" s="18">
        <v>-39537</v>
      </c>
      <c r="K9" s="18">
        <v>-46370</v>
      </c>
      <c r="L9" s="18">
        <v>-48484</v>
      </c>
      <c r="M9" s="18">
        <v>-45233</v>
      </c>
      <c r="N9" s="18">
        <v>-38828</v>
      </c>
      <c r="O9" s="18">
        <v>-35131</v>
      </c>
      <c r="P9" s="18">
        <v>-28047</v>
      </c>
      <c r="Q9" s="18">
        <v>-26081</v>
      </c>
      <c r="R9" s="18">
        <v>-29083</v>
      </c>
      <c r="S9" s="18">
        <v>-29856</v>
      </c>
      <c r="T9" s="44"/>
      <c r="U9" s="44"/>
      <c r="V9" s="44"/>
      <c r="W9" s="44"/>
    </row>
    <row r="10" spans="1:23" ht="14.4" customHeight="1" x14ac:dyDescent="0.3">
      <c r="B10" s="41" t="s">
        <v>88</v>
      </c>
      <c r="C10" s="18">
        <v>-77807</v>
      </c>
      <c r="D10" s="18">
        <v>-73808</v>
      </c>
      <c r="E10" s="18">
        <f t="shared" si="7"/>
        <v>-75430</v>
      </c>
      <c r="F10" s="18">
        <v>-18417</v>
      </c>
      <c r="G10" s="18">
        <v>-19687</v>
      </c>
      <c r="H10" s="18">
        <v>-18608</v>
      </c>
      <c r="I10" s="48">
        <v>-18718</v>
      </c>
      <c r="J10" s="18">
        <v>-19172</v>
      </c>
      <c r="K10" s="18">
        <v>-20393</v>
      </c>
      <c r="L10" s="18">
        <v>-19048</v>
      </c>
      <c r="M10" s="18">
        <v>-19980</v>
      </c>
      <c r="N10" s="18">
        <v>-17828</v>
      </c>
      <c r="O10" s="18">
        <v>-19605</v>
      </c>
      <c r="P10" s="18">
        <v>-18436</v>
      </c>
      <c r="Q10" s="18">
        <v>-17126</v>
      </c>
      <c r="R10" s="18">
        <v>-19126</v>
      </c>
      <c r="S10" s="18">
        <v>-18579</v>
      </c>
      <c r="T10" s="102">
        <v>-18579</v>
      </c>
      <c r="U10" s="102">
        <v>-18579</v>
      </c>
      <c r="V10" s="102">
        <v>-18579</v>
      </c>
      <c r="W10" s="102">
        <v>-18579</v>
      </c>
    </row>
    <row r="11" spans="1:23" ht="14.4" customHeight="1" x14ac:dyDescent="0.3">
      <c r="B11" s="41" t="s">
        <v>0</v>
      </c>
      <c r="C11" s="18">
        <v>-128639</v>
      </c>
      <c r="D11" s="18">
        <v>-123255</v>
      </c>
      <c r="E11" s="18">
        <f t="shared" si="7"/>
        <v>-108903</v>
      </c>
      <c r="F11" s="18">
        <v>-25726</v>
      </c>
      <c r="G11" s="18">
        <v>-26376</v>
      </c>
      <c r="H11" s="18">
        <v>-28326</v>
      </c>
      <c r="I11" s="48">
        <v>-28475</v>
      </c>
      <c r="J11" s="18">
        <v>-28250</v>
      </c>
      <c r="K11" s="18">
        <v>-27878</v>
      </c>
      <c r="L11" s="18">
        <v>-28135</v>
      </c>
      <c r="M11" s="18">
        <v>-27621</v>
      </c>
      <c r="N11" s="18">
        <v>-27270</v>
      </c>
      <c r="O11" s="18">
        <v>-26139</v>
      </c>
      <c r="P11" s="18">
        <v>-25969</v>
      </c>
      <c r="Q11" s="18">
        <v>-26991</v>
      </c>
      <c r="R11" s="18">
        <v>-25647</v>
      </c>
      <c r="S11" s="18">
        <v>-27752</v>
      </c>
      <c r="T11" s="102">
        <v>-27752</v>
      </c>
      <c r="U11" s="102">
        <v>-27752</v>
      </c>
      <c r="V11" s="102">
        <v>-27752</v>
      </c>
      <c r="W11" s="102">
        <v>-27752</v>
      </c>
    </row>
    <row r="12" spans="1:23" ht="14.4" customHeight="1" x14ac:dyDescent="0.3">
      <c r="B12" s="41" t="s">
        <v>89</v>
      </c>
      <c r="C12" s="18">
        <v>0</v>
      </c>
      <c r="D12" s="18">
        <v>0</v>
      </c>
      <c r="E12" s="18">
        <v>0</v>
      </c>
      <c r="F12" s="18">
        <v>0</v>
      </c>
      <c r="G12" s="18">
        <v>0</v>
      </c>
      <c r="H12" s="18">
        <v>0</v>
      </c>
      <c r="I12" s="48">
        <v>0</v>
      </c>
      <c r="J12" s="9">
        <v>0</v>
      </c>
      <c r="K12" s="9">
        <v>0</v>
      </c>
      <c r="L12" s="9">
        <v>0</v>
      </c>
      <c r="M12" s="9">
        <v>0</v>
      </c>
      <c r="N12" s="9">
        <v>0</v>
      </c>
      <c r="O12" s="9">
        <v>0</v>
      </c>
      <c r="P12" s="9">
        <v>0</v>
      </c>
      <c r="Q12" s="9">
        <v>0</v>
      </c>
      <c r="R12" s="9">
        <v>0</v>
      </c>
      <c r="S12" s="49">
        <v>0</v>
      </c>
      <c r="T12" s="103">
        <v>0</v>
      </c>
      <c r="U12" s="103">
        <v>0</v>
      </c>
      <c r="V12" s="103">
        <v>0</v>
      </c>
      <c r="W12" s="103">
        <v>0</v>
      </c>
    </row>
    <row r="13" spans="1:23" ht="14.4" customHeight="1" x14ac:dyDescent="0.3">
      <c r="B13" s="41" t="s">
        <v>90</v>
      </c>
      <c r="C13" s="18">
        <v>15153</v>
      </c>
      <c r="D13" s="18">
        <v>19512</v>
      </c>
      <c r="E13" s="18">
        <f t="shared" si="7"/>
        <v>0</v>
      </c>
      <c r="F13" s="18">
        <v>0</v>
      </c>
      <c r="G13" s="18">
        <v>0</v>
      </c>
      <c r="H13" s="18">
        <v>0</v>
      </c>
      <c r="I13" s="48">
        <v>0</v>
      </c>
      <c r="J13" s="9">
        <v>0</v>
      </c>
      <c r="K13" s="9">
        <v>0</v>
      </c>
      <c r="L13" s="9">
        <v>0</v>
      </c>
      <c r="M13" s="9">
        <v>27909</v>
      </c>
      <c r="N13" s="9">
        <v>19795</v>
      </c>
      <c r="O13" s="9">
        <v>17459</v>
      </c>
      <c r="P13" s="9">
        <f>15688+970</f>
        <v>16658</v>
      </c>
      <c r="Q13" s="9"/>
      <c r="R13" s="9">
        <v>59994</v>
      </c>
      <c r="S13" s="49">
        <v>0</v>
      </c>
      <c r="T13" s="152">
        <v>34200</v>
      </c>
      <c r="U13" s="103">
        <v>0</v>
      </c>
      <c r="V13" s="103">
        <v>0</v>
      </c>
      <c r="W13" s="103">
        <v>0</v>
      </c>
    </row>
    <row r="14" spans="1:23" ht="14.4" customHeight="1" x14ac:dyDescent="0.3">
      <c r="B14" s="42" t="s">
        <v>91</v>
      </c>
      <c r="C14" s="18">
        <v>-16565</v>
      </c>
      <c r="D14" s="18">
        <v>-16890</v>
      </c>
      <c r="E14" s="18">
        <f t="shared" si="7"/>
        <v>-17448</v>
      </c>
      <c r="F14" s="18">
        <v>-4637</v>
      </c>
      <c r="G14" s="18">
        <v>-4515</v>
      </c>
      <c r="H14" s="18">
        <v>-4303</v>
      </c>
      <c r="I14" s="48">
        <v>-3993</v>
      </c>
      <c r="J14" s="18">
        <v>-4664</v>
      </c>
      <c r="K14" s="18">
        <v>-4521</v>
      </c>
      <c r="L14" s="18">
        <v>-4169</v>
      </c>
      <c r="M14" s="18">
        <v>-5589</v>
      </c>
      <c r="N14" s="18">
        <v>-5548</v>
      </c>
      <c r="O14" s="18">
        <v>-4587</v>
      </c>
      <c r="P14" s="18">
        <v>-4132</v>
      </c>
      <c r="Q14" s="18">
        <v>-5623</v>
      </c>
      <c r="R14" s="18">
        <v>-4957</v>
      </c>
      <c r="S14" s="18">
        <v>-5594</v>
      </c>
      <c r="T14" s="102">
        <v>-5594</v>
      </c>
      <c r="U14" s="102">
        <v>-5594</v>
      </c>
      <c r="V14" s="102">
        <v>-5594</v>
      </c>
      <c r="W14" s="102">
        <v>-5594</v>
      </c>
    </row>
    <row r="15" spans="1:23" ht="14.4" customHeight="1" x14ac:dyDescent="0.3">
      <c r="B15" s="14" t="s">
        <v>36</v>
      </c>
      <c r="C15" s="25">
        <f>SUM(C9:C14)</f>
        <v>-300263</v>
      </c>
      <c r="D15" s="25">
        <f>SUM(D9:D14)</f>
        <v>-379943</v>
      </c>
      <c r="E15" s="25">
        <f t="shared" ref="E15:I15" si="8">SUM(E9:E14)</f>
        <v>-367448</v>
      </c>
      <c r="F15" s="25">
        <f t="shared" si="8"/>
        <v>-86349</v>
      </c>
      <c r="G15" s="25">
        <f t="shared" si="8"/>
        <v>-89670</v>
      </c>
      <c r="H15" s="25">
        <f t="shared" si="8"/>
        <v>-92472</v>
      </c>
      <c r="I15" s="25">
        <f t="shared" si="8"/>
        <v>-98957</v>
      </c>
      <c r="J15" s="25">
        <f t="shared" ref="J15:K15" si="9">SUM(J9:J14)</f>
        <v>-91623</v>
      </c>
      <c r="K15" s="25">
        <f t="shared" si="9"/>
        <v>-99162</v>
      </c>
      <c r="L15" s="25">
        <f t="shared" ref="L15:M15" si="10">SUM(L9:L14)</f>
        <v>-99836</v>
      </c>
      <c r="M15" s="25">
        <f t="shared" si="10"/>
        <v>-70514</v>
      </c>
      <c r="N15" s="25">
        <f t="shared" ref="N15:O15" si="11">SUM(N9:N14)</f>
        <v>-69679</v>
      </c>
      <c r="O15" s="25">
        <f t="shared" si="11"/>
        <v>-68003</v>
      </c>
      <c r="P15" s="25">
        <f t="shared" ref="P15:Q15" si="12">SUM(P9:P14)</f>
        <v>-59926</v>
      </c>
      <c r="Q15" s="25">
        <f t="shared" si="12"/>
        <v>-75821</v>
      </c>
      <c r="R15" s="25">
        <f t="shared" ref="R15:S15" si="13">SUM(R9:R14)</f>
        <v>-18819</v>
      </c>
      <c r="S15" s="25">
        <f t="shared" si="13"/>
        <v>-81781</v>
      </c>
      <c r="T15" s="25">
        <f t="shared" ref="T15:U15" si="14">SUM(T9:T14)</f>
        <v>-17725</v>
      </c>
      <c r="U15" s="25">
        <f t="shared" si="14"/>
        <v>-51925</v>
      </c>
      <c r="V15" s="25">
        <f t="shared" ref="V15:W15" si="15">SUM(V9:V14)</f>
        <v>-51925</v>
      </c>
      <c r="W15" s="25">
        <f t="shared" si="15"/>
        <v>-51925</v>
      </c>
    </row>
    <row r="16" spans="1:23" ht="14.4" customHeight="1" x14ac:dyDescent="0.3">
      <c r="B16" s="19"/>
      <c r="C16" s="18"/>
      <c r="D16" s="18"/>
      <c r="E16" s="18"/>
      <c r="F16" s="18"/>
      <c r="G16" s="18"/>
      <c r="H16" s="18"/>
      <c r="I16" s="18"/>
      <c r="L16" s="9"/>
      <c r="M16" s="9"/>
      <c r="P16" s="9"/>
    </row>
    <row r="17" spans="1:23" ht="14.4" customHeight="1" x14ac:dyDescent="0.3">
      <c r="B17" s="99" t="s">
        <v>92</v>
      </c>
      <c r="C17" s="100">
        <f>C4+C6+C15</f>
        <v>202</v>
      </c>
      <c r="D17" s="100">
        <f>D4+D6+D15</f>
        <v>74204</v>
      </c>
      <c r="E17" s="100">
        <f t="shared" ref="E17:L17" si="16">E4+E6+E15</f>
        <v>188627</v>
      </c>
      <c r="F17" s="100">
        <f t="shared" si="16"/>
        <v>46219</v>
      </c>
      <c r="G17" s="100">
        <f t="shared" si="16"/>
        <v>63377</v>
      </c>
      <c r="H17" s="100">
        <f t="shared" si="16"/>
        <v>39093</v>
      </c>
      <c r="I17" s="100">
        <f t="shared" si="16"/>
        <v>44419</v>
      </c>
      <c r="J17" s="100">
        <f t="shared" si="16"/>
        <v>55415</v>
      </c>
      <c r="K17" s="100">
        <f t="shared" si="16"/>
        <v>52075</v>
      </c>
      <c r="L17" s="100">
        <f t="shared" si="16"/>
        <v>42271</v>
      </c>
      <c r="M17" s="100">
        <f t="shared" ref="M17:Q17" si="17">M4+M6+M15</f>
        <v>60877</v>
      </c>
      <c r="N17" s="100">
        <f t="shared" si="17"/>
        <v>48895</v>
      </c>
      <c r="O17" s="100">
        <f t="shared" si="17"/>
        <v>60313</v>
      </c>
      <c r="P17" s="100">
        <f t="shared" si="17"/>
        <v>47422</v>
      </c>
      <c r="Q17" s="100">
        <f t="shared" si="17"/>
        <v>68342</v>
      </c>
      <c r="R17" s="100">
        <f t="shared" ref="R17:S17" si="18">R4+R6+R15</f>
        <v>167657</v>
      </c>
      <c r="S17" s="100">
        <f t="shared" si="18"/>
        <v>203231</v>
      </c>
      <c r="T17" s="100">
        <f t="shared" ref="T17:U17" si="19">T4+T6+T15</f>
        <v>252930.24</v>
      </c>
      <c r="U17" s="100">
        <f t="shared" si="19"/>
        <v>220863.1535999999</v>
      </c>
      <c r="V17" s="100">
        <f t="shared" ref="V17:W17" si="20">V4+V6+V15</f>
        <v>166344.12288000004</v>
      </c>
      <c r="W17" s="100">
        <f t="shared" si="20"/>
        <v>122728.89830400009</v>
      </c>
    </row>
    <row r="18" spans="1:23" ht="14.4" customHeight="1" x14ac:dyDescent="0.3">
      <c r="B18" s="99" t="s">
        <v>161</v>
      </c>
      <c r="C18" s="100">
        <f t="shared" ref="C18:Q18" si="21">C17-C11</f>
        <v>128841</v>
      </c>
      <c r="D18" s="100">
        <f t="shared" si="21"/>
        <v>197459</v>
      </c>
      <c r="E18" s="100">
        <f t="shared" si="21"/>
        <v>297530</v>
      </c>
      <c r="F18" s="100">
        <f t="shared" si="21"/>
        <v>71945</v>
      </c>
      <c r="G18" s="100">
        <f t="shared" si="21"/>
        <v>89753</v>
      </c>
      <c r="H18" s="100">
        <f t="shared" si="21"/>
        <v>67419</v>
      </c>
      <c r="I18" s="100">
        <f t="shared" si="21"/>
        <v>72894</v>
      </c>
      <c r="J18" s="100">
        <f t="shared" si="21"/>
        <v>83665</v>
      </c>
      <c r="K18" s="100">
        <f t="shared" si="21"/>
        <v>79953</v>
      </c>
      <c r="L18" s="100">
        <f t="shared" si="21"/>
        <v>70406</v>
      </c>
      <c r="M18" s="100">
        <f t="shared" si="21"/>
        <v>88498</v>
      </c>
      <c r="N18" s="100">
        <f t="shared" si="21"/>
        <v>76165</v>
      </c>
      <c r="O18" s="100">
        <f t="shared" si="21"/>
        <v>86452</v>
      </c>
      <c r="P18" s="100">
        <f t="shared" si="21"/>
        <v>73391</v>
      </c>
      <c r="Q18" s="100">
        <f t="shared" si="21"/>
        <v>95333</v>
      </c>
      <c r="R18" s="100">
        <f t="shared" ref="R18:S18" si="22">R17-R11</f>
        <v>193304</v>
      </c>
      <c r="S18" s="100">
        <f t="shared" si="22"/>
        <v>230983</v>
      </c>
      <c r="T18" s="100">
        <f t="shared" ref="T18:U18" si="23">T17-T11</f>
        <v>280682.23999999999</v>
      </c>
      <c r="U18" s="100">
        <f t="shared" si="23"/>
        <v>248615.1535999999</v>
      </c>
      <c r="V18" s="100">
        <f t="shared" ref="V18:W18" si="24">V17-V11</f>
        <v>194096.12288000004</v>
      </c>
      <c r="W18" s="100">
        <f t="shared" si="24"/>
        <v>150480.89830400009</v>
      </c>
    </row>
    <row r="19" spans="1:23" ht="14.4" customHeight="1" x14ac:dyDescent="0.3">
      <c r="B19" s="99" t="s">
        <v>167</v>
      </c>
      <c r="C19" s="100">
        <f t="shared" ref="C19:I19" si="25">C18-C13</f>
        <v>113688</v>
      </c>
      <c r="D19" s="100">
        <f t="shared" si="25"/>
        <v>177947</v>
      </c>
      <c r="E19" s="100">
        <f t="shared" si="25"/>
        <v>297530</v>
      </c>
      <c r="F19" s="100">
        <f t="shared" si="25"/>
        <v>71945</v>
      </c>
      <c r="G19" s="100">
        <f t="shared" si="25"/>
        <v>89753</v>
      </c>
      <c r="H19" s="100">
        <f t="shared" si="25"/>
        <v>67419</v>
      </c>
      <c r="I19" s="100">
        <f t="shared" si="25"/>
        <v>72894</v>
      </c>
      <c r="J19" s="100">
        <f t="shared" ref="J19:Q19" si="26">J18-J13</f>
        <v>83665</v>
      </c>
      <c r="K19" s="100">
        <f t="shared" si="26"/>
        <v>79953</v>
      </c>
      <c r="L19" s="100">
        <f t="shared" si="26"/>
        <v>70406</v>
      </c>
      <c r="M19" s="100">
        <f t="shared" si="26"/>
        <v>60589</v>
      </c>
      <c r="N19" s="100">
        <f t="shared" si="26"/>
        <v>56370</v>
      </c>
      <c r="O19" s="100">
        <f t="shared" si="26"/>
        <v>68993</v>
      </c>
      <c r="P19" s="100">
        <f t="shared" si="26"/>
        <v>56733</v>
      </c>
      <c r="Q19" s="100">
        <f t="shared" si="26"/>
        <v>95333</v>
      </c>
      <c r="R19" s="100">
        <f t="shared" ref="R19:S19" si="27">R18-R13</f>
        <v>133310</v>
      </c>
      <c r="S19" s="100">
        <f t="shared" si="27"/>
        <v>230983</v>
      </c>
      <c r="T19" s="100">
        <f t="shared" ref="T19:U19" si="28">T18-T13</f>
        <v>246482.24</v>
      </c>
      <c r="U19" s="100">
        <f t="shared" si="28"/>
        <v>248615.1535999999</v>
      </c>
      <c r="V19" s="100">
        <f t="shared" ref="V19:W19" si="29">V18-V13</f>
        <v>194096.12288000004</v>
      </c>
      <c r="W19" s="100">
        <f t="shared" si="29"/>
        <v>150480.89830400009</v>
      </c>
    </row>
    <row r="20" spans="1:23" ht="14.4" customHeight="1" x14ac:dyDescent="0.3">
      <c r="B20"/>
      <c r="C20" s="18"/>
      <c r="D20" s="18"/>
      <c r="E20" s="18"/>
      <c r="F20" s="18"/>
      <c r="G20" s="18"/>
      <c r="H20" s="18"/>
      <c r="I20" s="18"/>
      <c r="L20" s="9"/>
      <c r="M20" s="9"/>
      <c r="P20" s="9"/>
    </row>
    <row r="21" spans="1:23" ht="14.4" customHeight="1" x14ac:dyDescent="0.3">
      <c r="B21" t="s">
        <v>93</v>
      </c>
      <c r="C21" s="18">
        <v>1278</v>
      </c>
      <c r="D21" s="18">
        <v>1407</v>
      </c>
      <c r="E21" s="18">
        <f>SUM(F21:I21)</f>
        <v>0</v>
      </c>
      <c r="F21" s="18"/>
      <c r="G21" s="18">
        <v>0</v>
      </c>
      <c r="H21" s="18">
        <v>0</v>
      </c>
      <c r="I21" s="18">
        <v>0</v>
      </c>
      <c r="J21" s="1">
        <v>0</v>
      </c>
      <c r="K21" s="1">
        <v>0</v>
      </c>
      <c r="L21" s="9">
        <v>0</v>
      </c>
      <c r="M21" s="9">
        <v>0</v>
      </c>
      <c r="N21" s="1">
        <v>0</v>
      </c>
      <c r="O21" s="1">
        <v>0</v>
      </c>
      <c r="P21" s="9">
        <v>0</v>
      </c>
      <c r="Q21" s="1">
        <v>0</v>
      </c>
      <c r="R21" s="1">
        <v>0</v>
      </c>
      <c r="S21" s="49">
        <v>0</v>
      </c>
      <c r="T21" s="103">
        <v>0</v>
      </c>
      <c r="U21" s="103">
        <v>0</v>
      </c>
      <c r="V21" s="103">
        <v>0</v>
      </c>
      <c r="W21" s="103">
        <v>0</v>
      </c>
    </row>
    <row r="22" spans="1:23" ht="14.4" customHeight="1" x14ac:dyDescent="0.3">
      <c r="B22" t="s">
        <v>94</v>
      </c>
      <c r="C22" s="18">
        <v>6</v>
      </c>
      <c r="D22" s="18">
        <v>-5941</v>
      </c>
      <c r="E22" s="18">
        <f>SUM(F22:I22)</f>
        <v>4485</v>
      </c>
      <c r="F22" s="18">
        <v>398</v>
      </c>
      <c r="G22" s="18">
        <v>1966</v>
      </c>
      <c r="H22" s="18">
        <v>1213</v>
      </c>
      <c r="I22" s="18">
        <v>908</v>
      </c>
      <c r="J22" s="1">
        <v>1091</v>
      </c>
      <c r="K22" s="9">
        <v>935</v>
      </c>
      <c r="L22" s="9">
        <v>1035</v>
      </c>
      <c r="M22" s="9">
        <v>857</v>
      </c>
      <c r="N22" s="9">
        <v>793</v>
      </c>
      <c r="O22" s="9">
        <v>820</v>
      </c>
      <c r="P22" s="9">
        <v>936</v>
      </c>
      <c r="Q22" s="9">
        <v>590</v>
      </c>
      <c r="R22" s="9">
        <v>784</v>
      </c>
      <c r="S22" s="49">
        <v>1006</v>
      </c>
      <c r="T22" s="101">
        <v>1006</v>
      </c>
      <c r="U22" s="101">
        <v>1006</v>
      </c>
      <c r="V22" s="101">
        <v>1006</v>
      </c>
      <c r="W22" s="101">
        <v>1006</v>
      </c>
    </row>
    <row r="23" spans="1:23" ht="14.4" customHeight="1" x14ac:dyDescent="0.3">
      <c r="B23" t="s">
        <v>95</v>
      </c>
      <c r="C23" s="18">
        <v>-25727</v>
      </c>
      <c r="D23" s="18">
        <v>-16471</v>
      </c>
      <c r="E23" s="18">
        <f>SUM(F23:I23)</f>
        <v>-33061</v>
      </c>
      <c r="F23" s="18">
        <v>-7586</v>
      </c>
      <c r="G23" s="18">
        <v>-7492</v>
      </c>
      <c r="H23" s="18">
        <v>-8789</v>
      </c>
      <c r="I23" s="18">
        <v>-9194</v>
      </c>
      <c r="J23" s="18">
        <v>-8775</v>
      </c>
      <c r="K23" s="18">
        <v>-7921</v>
      </c>
      <c r="L23" s="18">
        <v>-7318</v>
      </c>
      <c r="M23" s="18">
        <v>-6384</v>
      </c>
      <c r="N23" s="18">
        <v>-5106</v>
      </c>
      <c r="O23" s="18">
        <v>-4186</v>
      </c>
      <c r="P23" s="18">
        <v>-2586</v>
      </c>
      <c r="Q23" s="18">
        <v>-2290</v>
      </c>
      <c r="R23" s="18">
        <v>-4424</v>
      </c>
      <c r="S23" s="18">
        <v>-6400</v>
      </c>
      <c r="T23" s="102">
        <v>-6400</v>
      </c>
      <c r="U23" s="102">
        <v>-6400</v>
      </c>
      <c r="V23" s="102">
        <v>-6400</v>
      </c>
      <c r="W23" s="102">
        <v>-6400</v>
      </c>
    </row>
    <row r="24" spans="1:23" ht="14.4" customHeight="1" x14ac:dyDescent="0.3">
      <c r="B24" t="s">
        <v>96</v>
      </c>
      <c r="C24" s="18">
        <v>12450</v>
      </c>
      <c r="D24" s="18">
        <v>11726</v>
      </c>
      <c r="E24" s="18">
        <f>SUM(F24:I24)</f>
        <v>-503</v>
      </c>
      <c r="F24" s="18">
        <v>-433</v>
      </c>
      <c r="G24" s="18">
        <v>-70</v>
      </c>
      <c r="H24" s="18">
        <v>0</v>
      </c>
      <c r="I24" s="18">
        <v>0</v>
      </c>
      <c r="J24" s="1">
        <v>0</v>
      </c>
      <c r="K24" s="9">
        <v>0</v>
      </c>
      <c r="L24" s="9">
        <v>0</v>
      </c>
      <c r="M24" s="9">
        <v>0</v>
      </c>
      <c r="N24" s="9">
        <v>0</v>
      </c>
      <c r="O24" s="9">
        <v>0</v>
      </c>
      <c r="P24" s="9">
        <v>-354</v>
      </c>
      <c r="Q24" s="9">
        <v>185</v>
      </c>
      <c r="R24" s="9">
        <v>1119</v>
      </c>
      <c r="S24" s="49">
        <v>1290</v>
      </c>
      <c r="T24" s="103">
        <v>0</v>
      </c>
      <c r="U24" s="103">
        <v>0</v>
      </c>
      <c r="V24" s="103">
        <v>0</v>
      </c>
      <c r="W24" s="103">
        <v>0</v>
      </c>
    </row>
    <row r="25" spans="1:23" ht="14.4" customHeight="1" x14ac:dyDescent="0.3">
      <c r="B25" s="31" t="s">
        <v>97</v>
      </c>
      <c r="C25" s="18">
        <v>645</v>
      </c>
      <c r="D25" s="18">
        <v>-2357</v>
      </c>
      <c r="E25" s="18">
        <f>SUM(F25:I25)</f>
        <v>-1984</v>
      </c>
      <c r="F25" s="18">
        <v>-366</v>
      </c>
      <c r="G25" s="18">
        <v>-606</v>
      </c>
      <c r="H25" s="18">
        <v>-413</v>
      </c>
      <c r="I25" s="18">
        <v>-599</v>
      </c>
      <c r="J25" s="18">
        <v>-454</v>
      </c>
      <c r="K25" s="18">
        <v>-470</v>
      </c>
      <c r="L25" s="18">
        <v>-719</v>
      </c>
      <c r="M25" s="18">
        <v>-445</v>
      </c>
      <c r="N25" s="18">
        <v>-447</v>
      </c>
      <c r="O25" s="18">
        <v>-885</v>
      </c>
      <c r="P25" s="18">
        <v>-520</v>
      </c>
      <c r="Q25" s="18">
        <v>-544</v>
      </c>
      <c r="R25" s="18">
        <v>-485</v>
      </c>
      <c r="S25" s="18">
        <v>-728</v>
      </c>
      <c r="T25" s="102">
        <v>-728</v>
      </c>
      <c r="U25" s="102">
        <v>-728</v>
      </c>
      <c r="V25" s="102">
        <v>-728</v>
      </c>
      <c r="W25" s="102">
        <v>-728</v>
      </c>
    </row>
    <row r="26" spans="1:23" s="18" customFormat="1" ht="14.4" customHeight="1" x14ac:dyDescent="0.3">
      <c r="A26" s="155"/>
      <c r="B26" s="99" t="s">
        <v>98</v>
      </c>
      <c r="C26" s="100">
        <f>C17+SUM(C21:C25)</f>
        <v>-11146</v>
      </c>
      <c r="D26" s="100">
        <f>D17+SUM(D21:D25)</f>
        <v>62568</v>
      </c>
      <c r="E26" s="100">
        <f t="shared" ref="E26:J26" si="30">E17+SUM(E21:E25)</f>
        <v>157564</v>
      </c>
      <c r="F26" s="100">
        <f t="shared" si="30"/>
        <v>38232</v>
      </c>
      <c r="G26" s="100">
        <f t="shared" si="30"/>
        <v>57175</v>
      </c>
      <c r="H26" s="100">
        <f t="shared" si="30"/>
        <v>31104</v>
      </c>
      <c r="I26" s="100">
        <f t="shared" si="30"/>
        <v>35534</v>
      </c>
      <c r="J26" s="100">
        <f t="shared" si="30"/>
        <v>47277</v>
      </c>
      <c r="K26" s="100">
        <f t="shared" ref="K26:L26" si="31">K17+SUM(K21:K25)</f>
        <v>44619</v>
      </c>
      <c r="L26" s="100">
        <f t="shared" si="31"/>
        <v>35269</v>
      </c>
      <c r="M26" s="100">
        <f t="shared" ref="M26:N26" si="32">M17+SUM(M21:M25)</f>
        <v>54905</v>
      </c>
      <c r="N26" s="100">
        <f t="shared" si="32"/>
        <v>44135</v>
      </c>
      <c r="O26" s="100">
        <f t="shared" ref="O26:Q26" si="33">O17+SUM(O21:O25)</f>
        <v>56062</v>
      </c>
      <c r="P26" s="100">
        <f t="shared" si="33"/>
        <v>44898</v>
      </c>
      <c r="Q26" s="100">
        <f t="shared" si="33"/>
        <v>66283</v>
      </c>
      <c r="R26" s="100">
        <f t="shared" ref="R26:S26" si="34">R17+SUM(R21:R25)</f>
        <v>164651</v>
      </c>
      <c r="S26" s="100">
        <f t="shared" si="34"/>
        <v>198399</v>
      </c>
      <c r="T26" s="100">
        <f t="shared" ref="T26:U26" si="35">T17+SUM(T21:T25)</f>
        <v>246808.24</v>
      </c>
      <c r="U26" s="100">
        <f t="shared" si="35"/>
        <v>214741.1535999999</v>
      </c>
      <c r="V26" s="100">
        <f t="shared" ref="V26:W26" si="36">V17+SUM(V21:V25)</f>
        <v>160222.12288000004</v>
      </c>
      <c r="W26" s="100">
        <f t="shared" si="36"/>
        <v>116606.89830400009</v>
      </c>
    </row>
    <row r="27" spans="1:23" s="116" customFormat="1" ht="14.4" customHeight="1" x14ac:dyDescent="0.3">
      <c r="A27" s="154"/>
      <c r="B27"/>
      <c r="C27" s="26"/>
      <c r="D27" s="26"/>
      <c r="E27" s="26"/>
      <c r="F27" s="26"/>
      <c r="G27" s="26"/>
      <c r="H27" s="26"/>
      <c r="I27" s="26"/>
      <c r="J27" s="9"/>
      <c r="K27" s="9"/>
      <c r="L27" s="1"/>
      <c r="M27" s="1"/>
      <c r="N27" s="1"/>
      <c r="O27" s="1"/>
      <c r="P27" s="9"/>
      <c r="Q27" s="1"/>
      <c r="R27" s="1"/>
      <c r="S27" s="1"/>
      <c r="T27" s="1"/>
      <c r="U27" s="1"/>
      <c r="V27" s="1"/>
      <c r="W27" s="1"/>
    </row>
    <row r="28" spans="1:23" s="116" customFormat="1" ht="14.4" customHeight="1" x14ac:dyDescent="0.3">
      <c r="A28" s="154"/>
      <c r="B28" s="31" t="s">
        <v>37</v>
      </c>
      <c r="C28" s="18">
        <v>-360</v>
      </c>
      <c r="D28" s="18">
        <v>-588</v>
      </c>
      <c r="E28" s="18">
        <f>SUM(F28:I28)</f>
        <v>-648</v>
      </c>
      <c r="F28" s="18">
        <v>-191</v>
      </c>
      <c r="G28" s="18">
        <v>-94</v>
      </c>
      <c r="H28" s="18">
        <v>-137</v>
      </c>
      <c r="I28" s="18">
        <v>-226</v>
      </c>
      <c r="J28" s="18">
        <v>-206</v>
      </c>
      <c r="K28" s="18">
        <v>-129</v>
      </c>
      <c r="L28" s="1">
        <v>-79</v>
      </c>
      <c r="M28" s="1">
        <v>-194</v>
      </c>
      <c r="N28" s="1">
        <v>-84</v>
      </c>
      <c r="O28" s="1">
        <v>0</v>
      </c>
      <c r="P28" s="9">
        <v>-93</v>
      </c>
      <c r="Q28" s="1">
        <v>-207</v>
      </c>
      <c r="R28" s="1">
        <v>-126</v>
      </c>
      <c r="S28" s="49">
        <v>-62</v>
      </c>
      <c r="T28" s="103">
        <v>0</v>
      </c>
      <c r="U28" s="103">
        <v>0</v>
      </c>
      <c r="V28" s="103">
        <v>0</v>
      </c>
      <c r="W28" s="103">
        <v>0</v>
      </c>
    </row>
    <row r="29" spans="1:23" s="18" customFormat="1" ht="14.4" customHeight="1" x14ac:dyDescent="0.3">
      <c r="A29" s="155"/>
      <c r="B29" s="99" t="s">
        <v>99</v>
      </c>
      <c r="C29" s="100">
        <f>C26+C28</f>
        <v>-11506</v>
      </c>
      <c r="D29" s="100">
        <f>D26+D28</f>
        <v>61980</v>
      </c>
      <c r="E29" s="100">
        <f t="shared" ref="E29:J29" si="37">E26+E28</f>
        <v>156916</v>
      </c>
      <c r="F29" s="100">
        <f t="shared" si="37"/>
        <v>38041</v>
      </c>
      <c r="G29" s="100">
        <f t="shared" si="37"/>
        <v>57081</v>
      </c>
      <c r="H29" s="100">
        <f t="shared" si="37"/>
        <v>30967</v>
      </c>
      <c r="I29" s="100">
        <f t="shared" si="37"/>
        <v>35308</v>
      </c>
      <c r="J29" s="100">
        <f t="shared" si="37"/>
        <v>47071</v>
      </c>
      <c r="K29" s="100">
        <f t="shared" ref="K29:L29" si="38">K26+K28</f>
        <v>44490</v>
      </c>
      <c r="L29" s="100">
        <f t="shared" si="38"/>
        <v>35190</v>
      </c>
      <c r="M29" s="100">
        <f t="shared" ref="M29:N29" si="39">M26+M28</f>
        <v>54711</v>
      </c>
      <c r="N29" s="100">
        <f t="shared" si="39"/>
        <v>44051</v>
      </c>
      <c r="O29" s="100">
        <f t="shared" ref="O29:Q29" si="40">O26+O28</f>
        <v>56062</v>
      </c>
      <c r="P29" s="100">
        <f t="shared" si="40"/>
        <v>44805</v>
      </c>
      <c r="Q29" s="100">
        <f t="shared" si="40"/>
        <v>66076</v>
      </c>
      <c r="R29" s="100">
        <f t="shared" ref="R29:S29" si="41">R26+R28</f>
        <v>164525</v>
      </c>
      <c r="S29" s="100">
        <f t="shared" si="41"/>
        <v>198337</v>
      </c>
      <c r="T29" s="100">
        <f t="shared" ref="T29:U29" si="42">T26+T28</f>
        <v>246808.24</v>
      </c>
      <c r="U29" s="100">
        <f t="shared" si="42"/>
        <v>214741.1535999999</v>
      </c>
      <c r="V29" s="100">
        <f t="shared" ref="V29:W29" si="43">V26+V28</f>
        <v>160222.12288000004</v>
      </c>
      <c r="W29" s="100">
        <f t="shared" si="43"/>
        <v>116606.89830400009</v>
      </c>
    </row>
    <row r="30" spans="1:23" s="116" customFormat="1" ht="14.4" customHeight="1" x14ac:dyDescent="0.3">
      <c r="A30" s="154"/>
      <c r="B30" s="37"/>
      <c r="C30" s="26"/>
      <c r="D30" s="26"/>
      <c r="E30" s="26"/>
      <c r="F30" s="26"/>
      <c r="G30" s="26"/>
      <c r="H30" s="26"/>
      <c r="I30" s="26"/>
      <c r="J30" s="9"/>
      <c r="K30" s="9"/>
      <c r="L30" s="1"/>
      <c r="M30" s="9"/>
      <c r="N30" s="1"/>
      <c r="O30" s="1"/>
      <c r="P30" s="1"/>
      <c r="Q30" s="1"/>
      <c r="R30" s="1"/>
      <c r="S30" s="1"/>
      <c r="T30" s="1"/>
      <c r="U30" s="1"/>
      <c r="V30" s="1"/>
      <c r="W30" s="1"/>
    </row>
    <row r="31" spans="1:23" s="116" customFormat="1" ht="14.4" customHeight="1" x14ac:dyDescent="0.3">
      <c r="A31" s="154"/>
      <c r="B31" t="s">
        <v>149</v>
      </c>
      <c r="C31" s="18">
        <v>14</v>
      </c>
      <c r="D31" s="18">
        <v>459</v>
      </c>
      <c r="E31" s="18">
        <f>SUM(F31:I31)</f>
        <v>44</v>
      </c>
      <c r="F31" s="18">
        <v>-136</v>
      </c>
      <c r="G31" s="18">
        <v>25</v>
      </c>
      <c r="H31" s="18">
        <v>208</v>
      </c>
      <c r="I31" s="18">
        <v>-53</v>
      </c>
      <c r="J31" s="18">
        <v>181</v>
      </c>
      <c r="K31" s="18">
        <v>143</v>
      </c>
      <c r="L31" s="18">
        <v>-17</v>
      </c>
      <c r="M31" s="18">
        <v>-224</v>
      </c>
      <c r="N31" s="18">
        <v>-71</v>
      </c>
      <c r="O31" s="18">
        <v>-29</v>
      </c>
      <c r="P31" s="18">
        <v>2</v>
      </c>
      <c r="Q31" s="18">
        <v>7</v>
      </c>
      <c r="R31" s="18">
        <v>2</v>
      </c>
      <c r="S31" s="18">
        <v>2</v>
      </c>
      <c r="T31" s="102">
        <v>2</v>
      </c>
      <c r="U31" s="102">
        <v>2</v>
      </c>
      <c r="V31" s="102">
        <v>2</v>
      </c>
      <c r="W31" s="102">
        <v>2</v>
      </c>
    </row>
    <row r="32" spans="1:23" s="116" customFormat="1" ht="14.4" customHeight="1" x14ac:dyDescent="0.3">
      <c r="A32" s="154"/>
      <c r="B32" t="s">
        <v>100</v>
      </c>
      <c r="C32" s="26">
        <f>C29-C31</f>
        <v>-11520</v>
      </c>
      <c r="D32" s="26">
        <f>D29-D31</f>
        <v>61521</v>
      </c>
      <c r="E32" s="26">
        <f>SUM(F32:I32)</f>
        <v>161353</v>
      </c>
      <c r="F32" s="26">
        <f t="shared" ref="F32:K32" si="44">F29-F31</f>
        <v>38177</v>
      </c>
      <c r="G32" s="26">
        <f t="shared" si="44"/>
        <v>57056</v>
      </c>
      <c r="H32" s="26">
        <f t="shared" si="44"/>
        <v>30759</v>
      </c>
      <c r="I32" s="26">
        <f t="shared" si="44"/>
        <v>35361</v>
      </c>
      <c r="J32" s="26">
        <f t="shared" si="44"/>
        <v>46890</v>
      </c>
      <c r="K32" s="26">
        <f t="shared" si="44"/>
        <v>44347</v>
      </c>
      <c r="L32" s="26">
        <f t="shared" ref="L32:M32" si="45">L29-L31</f>
        <v>35207</v>
      </c>
      <c r="M32" s="26">
        <f t="shared" si="45"/>
        <v>54935</v>
      </c>
      <c r="N32" s="26">
        <f t="shared" ref="N32:O32" si="46">N29-N31</f>
        <v>44122</v>
      </c>
      <c r="O32" s="26">
        <f t="shared" si="46"/>
        <v>56091</v>
      </c>
      <c r="P32" s="26">
        <f t="shared" ref="P32:Q32" si="47">P29-P31</f>
        <v>44803</v>
      </c>
      <c r="Q32" s="26">
        <f t="shared" si="47"/>
        <v>66069</v>
      </c>
      <c r="R32" s="26">
        <f t="shared" ref="R32:S32" si="48">R29-R31</f>
        <v>164523</v>
      </c>
      <c r="S32" s="26">
        <f t="shared" si="48"/>
        <v>198335</v>
      </c>
      <c r="T32" s="26">
        <f t="shared" ref="T32:U32" si="49">T29-T31</f>
        <v>246806.24</v>
      </c>
      <c r="U32" s="26">
        <f t="shared" si="49"/>
        <v>214739.1535999999</v>
      </c>
      <c r="V32" s="26">
        <f t="shared" ref="V32:W32" si="50">V29-V31</f>
        <v>160220.12288000004</v>
      </c>
      <c r="W32" s="26">
        <f t="shared" si="50"/>
        <v>116604.89830400009</v>
      </c>
    </row>
    <row r="33" spans="1:23" s="116" customFormat="1" ht="14.4" customHeight="1" x14ac:dyDescent="0.3">
      <c r="A33" s="154"/>
      <c r="B33"/>
      <c r="C33" s="26"/>
      <c r="D33" s="26"/>
      <c r="E33" s="26"/>
      <c r="F33" s="26"/>
      <c r="G33" s="26"/>
      <c r="H33" s="26"/>
      <c r="I33" s="26"/>
      <c r="J33" s="9"/>
      <c r="K33" s="9"/>
      <c r="L33" s="1"/>
      <c r="M33" s="9"/>
      <c r="N33" s="1"/>
      <c r="O33" s="1"/>
      <c r="P33" s="1"/>
      <c r="Q33" s="1"/>
      <c r="R33" s="1"/>
      <c r="S33" s="1"/>
      <c r="T33" s="1"/>
      <c r="U33" s="1"/>
      <c r="V33" s="1"/>
      <c r="W33" s="1"/>
    </row>
    <row r="34" spans="1:23" s="116" customFormat="1" ht="14.4" customHeight="1" x14ac:dyDescent="0.3">
      <c r="A34" s="154"/>
      <c r="B34" s="37" t="s">
        <v>100</v>
      </c>
      <c r="C34" s="33"/>
      <c r="D34" s="33"/>
      <c r="E34" s="33"/>
      <c r="F34" s="33"/>
      <c r="G34" s="33"/>
      <c r="H34" s="33"/>
      <c r="I34" s="33"/>
      <c r="J34" s="9"/>
      <c r="K34" s="9"/>
      <c r="L34" s="1"/>
      <c r="M34" s="9"/>
      <c r="N34" s="1"/>
      <c r="O34" s="1"/>
      <c r="P34" s="1"/>
      <c r="Q34" s="1"/>
      <c r="R34" s="1"/>
      <c r="S34" s="1"/>
      <c r="T34" s="1"/>
      <c r="U34" s="1"/>
      <c r="V34" s="1"/>
      <c r="W34" s="1"/>
    </row>
    <row r="35" spans="1:23" s="18" customFormat="1" ht="14.4" customHeight="1" x14ac:dyDescent="0.3">
      <c r="A35" s="155"/>
      <c r="B35" s="99" t="s">
        <v>101</v>
      </c>
      <c r="C35" s="115">
        <v>-7.0000000000000007E-2</v>
      </c>
      <c r="D35" s="115">
        <v>0.37</v>
      </c>
      <c r="E35" s="115">
        <f t="shared" ref="E35:E36" si="51">SUM(F35:I35)</f>
        <v>0.98981453071063596</v>
      </c>
      <c r="F35" s="115">
        <v>0.23</v>
      </c>
      <c r="G35" s="115">
        <v>0.35</v>
      </c>
      <c r="H35" s="115">
        <f t="shared" ref="H35:V35" si="52">H32*1000/H38</f>
        <v>0.19018036554015369</v>
      </c>
      <c r="I35" s="115">
        <f t="shared" si="52"/>
        <v>0.21963416517048229</v>
      </c>
      <c r="J35" s="115">
        <f t="shared" si="52"/>
        <v>0.29068031847081993</v>
      </c>
      <c r="K35" s="115">
        <f t="shared" si="52"/>
        <v>0.2748165828442109</v>
      </c>
      <c r="L35" s="115">
        <f t="shared" si="52"/>
        <v>0.21804794759605559</v>
      </c>
      <c r="M35" s="115">
        <f t="shared" si="52"/>
        <v>0.34063452184635806</v>
      </c>
      <c r="N35" s="115">
        <f t="shared" si="52"/>
        <v>0.27491033808856191</v>
      </c>
      <c r="O35" s="115">
        <f t="shared" si="52"/>
        <v>0.34912530886675586</v>
      </c>
      <c r="P35" s="115">
        <f t="shared" si="52"/>
        <v>0.27862664941295462</v>
      </c>
      <c r="Q35" s="115">
        <f t="shared" si="52"/>
        <v>0.4108783809134321</v>
      </c>
      <c r="R35" s="115">
        <f t="shared" si="52"/>
        <v>1.0217031577951139</v>
      </c>
      <c r="S35" s="115">
        <f t="shared" si="52"/>
        <v>1.2312112712169623</v>
      </c>
      <c r="T35" s="115">
        <f t="shared" si="52"/>
        <v>1.5326897441180791</v>
      </c>
      <c r="U35" s="115">
        <f t="shared" si="52"/>
        <v>1.3335501500420603</v>
      </c>
      <c r="V35" s="115">
        <f t="shared" si="52"/>
        <v>0.99498189000211035</v>
      </c>
      <c r="W35" s="115">
        <f t="shared" ref="W35" si="53">W32*1000/W38</f>
        <v>0.72412728197015019</v>
      </c>
    </row>
    <row r="36" spans="1:23" s="18" customFormat="1" ht="14.4" customHeight="1" x14ac:dyDescent="0.3">
      <c r="A36" s="155"/>
      <c r="B36" s="99" t="s">
        <v>102</v>
      </c>
      <c r="C36" s="115">
        <v>-7.0000000000000007E-2</v>
      </c>
      <c r="D36" s="115">
        <v>0.37</v>
      </c>
      <c r="E36" s="115">
        <f t="shared" si="51"/>
        <v>0.98933748543870714</v>
      </c>
      <c r="F36" s="115">
        <v>0.23</v>
      </c>
      <c r="G36" s="115">
        <v>0.35</v>
      </c>
      <c r="H36" s="115">
        <f t="shared" ref="H36:V36" si="54">H32*1000/H40</f>
        <v>0.18998527041276969</v>
      </c>
      <c r="I36" s="115">
        <f t="shared" si="54"/>
        <v>0.21935221502593752</v>
      </c>
      <c r="J36" s="115">
        <f t="shared" si="54"/>
        <v>0.29047535582673556</v>
      </c>
      <c r="K36" s="115">
        <f t="shared" si="54"/>
        <v>0.27461737777552842</v>
      </c>
      <c r="L36" s="115">
        <f t="shared" si="54"/>
        <v>0.21792823211749121</v>
      </c>
      <c r="M36" s="115">
        <f t="shared" si="54"/>
        <v>0.34047641721255639</v>
      </c>
      <c r="N36" s="115">
        <f t="shared" si="54"/>
        <v>0.27480273940999078</v>
      </c>
      <c r="O36" s="115">
        <f t="shared" si="54"/>
        <v>0.34898529031760966</v>
      </c>
      <c r="P36" s="115">
        <f t="shared" si="54"/>
        <v>0.27847737252164195</v>
      </c>
      <c r="Q36" s="115">
        <f t="shared" si="54"/>
        <v>0.41057379684458789</v>
      </c>
      <c r="R36" s="115">
        <f t="shared" si="54"/>
        <v>1.0205130485553822</v>
      </c>
      <c r="S36" s="115">
        <f t="shared" si="54"/>
        <v>1.229863683468241</v>
      </c>
      <c r="T36" s="115">
        <f t="shared" si="54"/>
        <v>1.5309044229979476</v>
      </c>
      <c r="U36" s="115">
        <f t="shared" si="54"/>
        <v>1.3319967924517446</v>
      </c>
      <c r="V36" s="115">
        <f t="shared" si="54"/>
        <v>0.99382290646406146</v>
      </c>
      <c r="W36" s="115">
        <f t="shared" ref="W36" si="55">W32*1000/W40</f>
        <v>0.7232837976739146</v>
      </c>
    </row>
    <row r="37" spans="1:23" s="116" customFormat="1" ht="14.4" customHeight="1" x14ac:dyDescent="0.3">
      <c r="A37" s="154"/>
      <c r="B37"/>
      <c r="C37" s="18"/>
      <c r="D37" s="18"/>
      <c r="E37" s="18"/>
      <c r="F37" s="18"/>
      <c r="G37" s="18"/>
      <c r="H37" s="18"/>
      <c r="I37" s="18"/>
      <c r="J37" s="9"/>
      <c r="K37" s="9"/>
      <c r="L37" s="1"/>
      <c r="M37" s="9"/>
      <c r="N37" s="1"/>
      <c r="O37" s="1"/>
      <c r="P37" s="1"/>
      <c r="Q37" s="1"/>
      <c r="R37" s="1"/>
      <c r="S37" s="1"/>
      <c r="T37" s="1"/>
      <c r="U37" s="1"/>
      <c r="V37" s="1"/>
      <c r="W37" s="1"/>
    </row>
    <row r="38" spans="1:23" s="116" customFormat="1" ht="14.4" customHeight="1" x14ac:dyDescent="0.3">
      <c r="A38" s="154"/>
      <c r="B38" t="s">
        <v>103</v>
      </c>
      <c r="C38" s="18">
        <v>169089325</v>
      </c>
      <c r="D38" s="18">
        <v>164692954</v>
      </c>
      <c r="E38" s="18"/>
      <c r="F38" s="18">
        <v>162967375</v>
      </c>
      <c r="G38" s="18">
        <v>163037628</v>
      </c>
      <c r="H38" s="18">
        <v>161735939</v>
      </c>
      <c r="I38" s="18">
        <v>160999542</v>
      </c>
      <c r="J38" s="18">
        <v>161311231</v>
      </c>
      <c r="K38" s="18">
        <v>161369447</v>
      </c>
      <c r="L38" s="18">
        <v>161464487</v>
      </c>
      <c r="M38" s="18">
        <v>161272556</v>
      </c>
      <c r="N38" s="18">
        <v>160495965</v>
      </c>
      <c r="O38" s="18">
        <v>160661512</v>
      </c>
      <c r="P38" s="18">
        <v>160799407</v>
      </c>
      <c r="Q38" s="18">
        <v>160799407</v>
      </c>
      <c r="R38" s="18">
        <v>161028180</v>
      </c>
      <c r="S38" s="18">
        <v>161089331</v>
      </c>
      <c r="T38" s="102">
        <v>161028180</v>
      </c>
      <c r="U38" s="102">
        <v>161028180</v>
      </c>
      <c r="V38" s="102">
        <v>161028180</v>
      </c>
      <c r="W38" s="102">
        <v>161028180</v>
      </c>
    </row>
    <row r="39" spans="1:23" s="116" customFormat="1" ht="14.4" customHeight="1" x14ac:dyDescent="0.3">
      <c r="A39" s="154"/>
      <c r="B39"/>
      <c r="C39" s="18"/>
      <c r="D39" s="18"/>
      <c r="E39" s="18"/>
      <c r="F39" s="18"/>
      <c r="G39" s="59">
        <f t="shared" ref="G39:W39" si="56">G38/F38-1</f>
        <v>4.3108628337429344E-4</v>
      </c>
      <c r="H39" s="59">
        <f t="shared" si="56"/>
        <v>-7.9839790112746778E-3</v>
      </c>
      <c r="I39" s="59">
        <f t="shared" si="56"/>
        <v>-4.5530820456670673E-3</v>
      </c>
      <c r="J39" s="59">
        <f t="shared" si="56"/>
        <v>1.9359620290100299E-3</v>
      </c>
      <c r="K39" s="59">
        <f t="shared" si="56"/>
        <v>3.6089241672199179E-4</v>
      </c>
      <c r="L39" s="60">
        <f t="shared" si="56"/>
        <v>5.8895907352285448E-4</v>
      </c>
      <c r="M39" s="60">
        <f t="shared" si="56"/>
        <v>-1.1886886309557809E-3</v>
      </c>
      <c r="N39" s="60">
        <f t="shared" si="56"/>
        <v>-4.8153946292015526E-3</v>
      </c>
      <c r="O39" s="60">
        <f t="shared" si="56"/>
        <v>1.0314714142503068E-3</v>
      </c>
      <c r="P39" s="60">
        <f t="shared" si="56"/>
        <v>8.5829517152813395E-4</v>
      </c>
      <c r="Q39" s="60">
        <f t="shared" si="56"/>
        <v>0</v>
      </c>
      <c r="R39" s="60">
        <f t="shared" si="56"/>
        <v>1.4227229084247117E-3</v>
      </c>
      <c r="S39" s="59">
        <f t="shared" si="56"/>
        <v>3.797534071365849E-4</v>
      </c>
      <c r="T39" s="59">
        <f t="shared" si="56"/>
        <v>-3.7960924923075012E-4</v>
      </c>
      <c r="U39" s="59">
        <f t="shared" si="56"/>
        <v>0</v>
      </c>
      <c r="V39" s="59">
        <f t="shared" si="56"/>
        <v>0</v>
      </c>
      <c r="W39" s="59">
        <f t="shared" si="56"/>
        <v>0</v>
      </c>
    </row>
    <row r="40" spans="1:23" s="116" customFormat="1" ht="14.4" customHeight="1" x14ac:dyDescent="0.3">
      <c r="A40" s="154"/>
      <c r="B40" t="s">
        <v>104</v>
      </c>
      <c r="C40" s="18">
        <v>169089325</v>
      </c>
      <c r="D40" s="18">
        <v>164850097</v>
      </c>
      <c r="E40" s="18"/>
      <c r="F40" s="18">
        <v>163249977</v>
      </c>
      <c r="G40" s="18">
        <v>163172987</v>
      </c>
      <c r="H40" s="18">
        <v>161902025</v>
      </c>
      <c r="I40" s="18">
        <v>161206487</v>
      </c>
      <c r="J40" s="18">
        <v>161425054</v>
      </c>
      <c r="K40" s="18">
        <v>161486503</v>
      </c>
      <c r="L40" s="18">
        <v>161553185</v>
      </c>
      <c r="M40" s="18">
        <v>161347445</v>
      </c>
      <c r="N40" s="18">
        <v>160558807</v>
      </c>
      <c r="O40" s="18">
        <v>160725972</v>
      </c>
      <c r="P40" s="18">
        <v>160885603</v>
      </c>
      <c r="Q40" s="18">
        <v>160918696</v>
      </c>
      <c r="R40" s="18">
        <v>161215969</v>
      </c>
      <c r="S40" s="18">
        <v>161265840</v>
      </c>
      <c r="T40" s="102">
        <v>161215969</v>
      </c>
      <c r="U40" s="102">
        <v>161215969</v>
      </c>
      <c r="V40" s="102">
        <v>161215969</v>
      </c>
      <c r="W40" s="102">
        <v>161215969</v>
      </c>
    </row>
    <row r="41" spans="1:23" s="116" customFormat="1" ht="14.4" customHeight="1" x14ac:dyDescent="0.3">
      <c r="A41" s="154"/>
      <c r="B41"/>
      <c r="C41" s="18"/>
      <c r="D41" s="18"/>
      <c r="E41" s="18"/>
      <c r="F41" s="18"/>
      <c r="G41" s="59">
        <f t="shared" ref="G41:W41" si="57">G40/F40-1</f>
        <v>-4.7160802969059556E-4</v>
      </c>
      <c r="H41" s="59">
        <f t="shared" si="57"/>
        <v>-7.7890466024256311E-3</v>
      </c>
      <c r="I41" s="59">
        <f t="shared" si="57"/>
        <v>-4.2960426220733927E-3</v>
      </c>
      <c r="J41" s="59">
        <f t="shared" si="57"/>
        <v>1.3558201290000405E-3</v>
      </c>
      <c r="K41" s="59">
        <f t="shared" si="57"/>
        <v>3.8066581659612631E-4</v>
      </c>
      <c r="L41" s="60">
        <f t="shared" si="57"/>
        <v>4.1292615024302037E-4</v>
      </c>
      <c r="M41" s="60">
        <f t="shared" si="57"/>
        <v>-1.2735124968288325E-3</v>
      </c>
      <c r="N41" s="60">
        <f t="shared" si="57"/>
        <v>-4.8878245329512238E-3</v>
      </c>
      <c r="O41" s="60">
        <f t="shared" si="57"/>
        <v>1.0411450055181071E-3</v>
      </c>
      <c r="P41" s="59">
        <f t="shared" si="57"/>
        <v>9.9318733626940769E-4</v>
      </c>
      <c r="Q41" s="59">
        <f t="shared" si="57"/>
        <v>2.0569273684478695E-4</v>
      </c>
      <c r="R41" s="59">
        <f t="shared" si="57"/>
        <v>1.8473490488637445E-3</v>
      </c>
      <c r="S41" s="59">
        <f t="shared" si="57"/>
        <v>3.0934280462013852E-4</v>
      </c>
      <c r="T41" s="59">
        <f t="shared" si="57"/>
        <v>-3.0924714124203057E-4</v>
      </c>
      <c r="U41" s="59">
        <f t="shared" si="57"/>
        <v>0</v>
      </c>
      <c r="V41" s="59">
        <f t="shared" si="57"/>
        <v>0</v>
      </c>
      <c r="W41" s="59">
        <f t="shared" si="57"/>
        <v>0</v>
      </c>
    </row>
    <row r="42" spans="1:23" s="116" customFormat="1" ht="14.4" customHeight="1" x14ac:dyDescent="0.3">
      <c r="A42" s="154"/>
      <c r="B42"/>
      <c r="C42" s="18"/>
      <c r="D42" s="18"/>
      <c r="E42" s="18"/>
      <c r="F42" s="18"/>
      <c r="G42" s="59"/>
      <c r="H42" s="59"/>
      <c r="I42" s="59"/>
      <c r="J42" s="59"/>
      <c r="K42" s="59"/>
      <c r="L42" s="60"/>
      <c r="M42" s="58"/>
      <c r="N42" s="58"/>
      <c r="O42" s="58"/>
      <c r="P42" s="58"/>
      <c r="Q42" s="58"/>
      <c r="R42" s="58"/>
      <c r="S42" s="58"/>
      <c r="T42" s="58"/>
      <c r="U42" s="58"/>
      <c r="V42" s="58"/>
      <c r="W42" s="58"/>
    </row>
    <row r="43" spans="1:23" s="116" customFormat="1" ht="14.4" customHeight="1" x14ac:dyDescent="0.3">
      <c r="A43" s="154"/>
      <c r="B43"/>
      <c r="C43" s="18"/>
      <c r="D43" s="18"/>
      <c r="E43" s="18"/>
      <c r="F43" s="18"/>
      <c r="G43" s="59"/>
      <c r="H43" s="59"/>
      <c r="I43" s="59"/>
      <c r="J43" s="59"/>
      <c r="K43" s="59"/>
      <c r="L43" s="60"/>
      <c r="M43" s="58"/>
      <c r="N43" s="58"/>
      <c r="O43" s="58"/>
      <c r="P43" s="58"/>
      <c r="Q43" s="58"/>
      <c r="R43" s="58"/>
      <c r="S43" s="58"/>
      <c r="T43" s="58"/>
      <c r="U43" s="58"/>
      <c r="V43" s="58"/>
      <c r="W43" s="58"/>
    </row>
    <row r="44" spans="1:23" s="18" customFormat="1" ht="14.4" customHeight="1" x14ac:dyDescent="0.3">
      <c r="A44" s="155"/>
      <c r="B44" s="99" t="s">
        <v>220</v>
      </c>
      <c r="C44" s="100"/>
      <c r="D44" s="100"/>
      <c r="E44" s="100"/>
      <c r="F44" s="100">
        <f t="shared" ref="F44:Q44" si="58">F19+F11+F21+F22+F23+F24+F25+F28+F31</f>
        <v>37905</v>
      </c>
      <c r="G44" s="100">
        <f t="shared" si="58"/>
        <v>57106</v>
      </c>
      <c r="H44" s="100">
        <f t="shared" si="58"/>
        <v>31175</v>
      </c>
      <c r="I44" s="100">
        <f t="shared" si="58"/>
        <v>35255</v>
      </c>
      <c r="J44" s="100">
        <f t="shared" si="58"/>
        <v>47252</v>
      </c>
      <c r="K44" s="100">
        <f t="shared" si="58"/>
        <v>44633</v>
      </c>
      <c r="L44" s="100">
        <f t="shared" si="58"/>
        <v>35173</v>
      </c>
      <c r="M44" s="100">
        <f t="shared" si="58"/>
        <v>26578</v>
      </c>
      <c r="N44" s="100">
        <f t="shared" si="58"/>
        <v>24185</v>
      </c>
      <c r="O44" s="100">
        <f t="shared" si="58"/>
        <v>38574</v>
      </c>
      <c r="P44" s="100">
        <f t="shared" si="58"/>
        <v>28149</v>
      </c>
      <c r="Q44" s="100">
        <f t="shared" si="58"/>
        <v>66083</v>
      </c>
      <c r="R44" s="100">
        <f t="shared" ref="R44:W44" si="59">R19+R11+R21+R22+R23+R24+R25+R28+R31</f>
        <v>104533</v>
      </c>
      <c r="S44" s="100">
        <f t="shared" si="59"/>
        <v>198339</v>
      </c>
      <c r="T44" s="100">
        <f t="shared" si="59"/>
        <v>212610.24</v>
      </c>
      <c r="U44" s="100">
        <f t="shared" si="59"/>
        <v>214743.1535999999</v>
      </c>
      <c r="V44" s="100">
        <f t="shared" si="59"/>
        <v>160224.12288000004</v>
      </c>
      <c r="W44" s="100">
        <f t="shared" si="59"/>
        <v>116608.89830400009</v>
      </c>
    </row>
    <row r="45" spans="1:23" s="18" customFormat="1" ht="14.4" customHeight="1" x14ac:dyDescent="0.3">
      <c r="A45" s="155"/>
      <c r="B45" s="99" t="s">
        <v>221</v>
      </c>
      <c r="C45" s="115"/>
      <c r="D45" s="115"/>
      <c r="E45" s="115"/>
      <c r="F45" s="115">
        <f t="shared" ref="F45:Q45" si="60">F44*1000/F40</f>
        <v>0.23218992551527282</v>
      </c>
      <c r="G45" s="115">
        <f t="shared" si="60"/>
        <v>0.3499721433670881</v>
      </c>
      <c r="H45" s="115">
        <f t="shared" si="60"/>
        <v>0.19255472561260428</v>
      </c>
      <c r="I45" s="115">
        <f t="shared" si="60"/>
        <v>0.21869467324847791</v>
      </c>
      <c r="J45" s="115">
        <f t="shared" si="60"/>
        <v>0.2927178825661102</v>
      </c>
      <c r="K45" s="115">
        <f t="shared" si="60"/>
        <v>0.27638842361952687</v>
      </c>
      <c r="L45" s="115">
        <f t="shared" si="60"/>
        <v>0.21771777510916915</v>
      </c>
      <c r="M45" s="115">
        <f t="shared" si="60"/>
        <v>0.16472526106626603</v>
      </c>
      <c r="N45" s="115">
        <f t="shared" si="60"/>
        <v>0.15063016754976263</v>
      </c>
      <c r="O45" s="115">
        <f t="shared" si="60"/>
        <v>0.23999854858553912</v>
      </c>
      <c r="P45" s="115">
        <f t="shared" si="60"/>
        <v>0.17496282746940384</v>
      </c>
      <c r="Q45" s="115">
        <f t="shared" si="60"/>
        <v>0.41066079730101718</v>
      </c>
      <c r="R45" s="115">
        <f>R44*1000/R40</f>
        <v>0.64840350896008325</v>
      </c>
      <c r="S45" s="115">
        <f t="shared" ref="S45:V45" si="61">S44*1000/S40</f>
        <v>1.2298884872332541</v>
      </c>
      <c r="T45" s="115">
        <f t="shared" si="61"/>
        <v>1.3187914405675283</v>
      </c>
      <c r="U45" s="115">
        <f t="shared" si="61"/>
        <v>1.332021603889624</v>
      </c>
      <c r="V45" s="115">
        <f t="shared" si="61"/>
        <v>0.99384771790194071</v>
      </c>
      <c r="W45" s="115">
        <f t="shared" ref="W45" si="62">W44*1000/W40</f>
        <v>0.72330860911179395</v>
      </c>
    </row>
    <row r="46" spans="1:23" s="116" customFormat="1" ht="14.4" customHeight="1" x14ac:dyDescent="0.3">
      <c r="A46" s="154"/>
      <c r="B46"/>
      <c r="C46" s="18"/>
      <c r="D46" s="18"/>
      <c r="E46" s="18"/>
      <c r="F46" s="18"/>
      <c r="G46" s="59"/>
      <c r="H46" s="59"/>
      <c r="I46" s="59"/>
      <c r="J46" s="59"/>
      <c r="K46" s="59"/>
      <c r="L46" s="60"/>
      <c r="M46" s="58"/>
      <c r="N46" s="58"/>
      <c r="O46" s="58"/>
      <c r="P46" s="58"/>
      <c r="Q46" s="58"/>
      <c r="R46" s="58"/>
      <c r="S46" s="58"/>
      <c r="T46" s="58"/>
      <c r="U46" s="58"/>
      <c r="V46" s="58"/>
      <c r="W46" s="58"/>
    </row>
    <row r="47" spans="1:23" ht="14.4" customHeight="1" x14ac:dyDescent="0.3">
      <c r="B47" s="18"/>
      <c r="C47" s="20"/>
      <c r="D47" s="20"/>
      <c r="E47" s="18"/>
      <c r="F47" s="20"/>
      <c r="G47" s="20"/>
      <c r="H47" s="20"/>
      <c r="I47" s="18"/>
    </row>
    <row r="48" spans="1:23" ht="14.4" customHeight="1" x14ac:dyDescent="0.3">
      <c r="A48" s="154" t="s">
        <v>10</v>
      </c>
      <c r="B48" s="105" t="s">
        <v>152</v>
      </c>
      <c r="C48" s="106"/>
      <c r="D48" s="106"/>
      <c r="E48" s="106"/>
      <c r="F48" s="107" t="s">
        <v>153</v>
      </c>
      <c r="G48" s="107" t="s">
        <v>151</v>
      </c>
      <c r="H48" s="106"/>
      <c r="I48" s="106"/>
      <c r="J48" s="106"/>
      <c r="K48" s="106"/>
      <c r="L48" s="106"/>
      <c r="M48" s="106"/>
      <c r="N48" s="106"/>
      <c r="O48" s="106"/>
      <c r="P48" s="106"/>
      <c r="Q48" s="106"/>
      <c r="R48" s="106"/>
      <c r="S48" s="106"/>
      <c r="T48" s="106"/>
      <c r="U48" s="106"/>
      <c r="V48" s="106"/>
      <c r="W48" s="106"/>
    </row>
    <row r="49" spans="2:23" ht="14.4" customHeight="1" x14ac:dyDescent="0.3">
      <c r="B49" t="s">
        <v>56</v>
      </c>
      <c r="F49" s="30">
        <v>1</v>
      </c>
      <c r="G49" s="30">
        <v>1</v>
      </c>
      <c r="H49" s="1">
        <v>87</v>
      </c>
      <c r="I49" s="1">
        <v>88</v>
      </c>
      <c r="J49" s="1">
        <v>88</v>
      </c>
      <c r="K49" s="1">
        <v>88</v>
      </c>
      <c r="L49" s="24">
        <v>90</v>
      </c>
      <c r="M49" s="24">
        <v>91</v>
      </c>
      <c r="N49" s="24">
        <v>90</v>
      </c>
      <c r="O49" s="24">
        <v>90</v>
      </c>
      <c r="P49" s="24">
        <v>90</v>
      </c>
      <c r="Q49" s="24">
        <v>90</v>
      </c>
      <c r="R49" s="175"/>
      <c r="S49" s="175"/>
      <c r="T49" s="123">
        <v>88</v>
      </c>
      <c r="U49" s="123">
        <v>88</v>
      </c>
      <c r="V49" s="123">
        <v>88</v>
      </c>
      <c r="W49" s="123">
        <v>88</v>
      </c>
    </row>
    <row r="50" spans="2:23" ht="14.4" customHeight="1" x14ac:dyDescent="0.3">
      <c r="B50" t="s">
        <v>57</v>
      </c>
      <c r="F50" s="30">
        <v>1</v>
      </c>
      <c r="G50" s="30">
        <v>1</v>
      </c>
      <c r="H50" s="1">
        <v>87</v>
      </c>
      <c r="I50" s="1">
        <v>88</v>
      </c>
      <c r="J50" s="1">
        <v>88</v>
      </c>
      <c r="K50" s="1">
        <v>88</v>
      </c>
      <c r="L50" s="24">
        <v>90</v>
      </c>
      <c r="M50" s="24">
        <v>91</v>
      </c>
      <c r="N50" s="24">
        <v>90</v>
      </c>
      <c r="O50" s="24">
        <v>90</v>
      </c>
      <c r="P50" s="24">
        <v>90</v>
      </c>
      <c r="Q50" s="24">
        <v>90</v>
      </c>
      <c r="R50" s="175"/>
      <c r="S50" s="175"/>
      <c r="T50" s="123">
        <v>88</v>
      </c>
      <c r="U50" s="123">
        <v>88</v>
      </c>
      <c r="V50" s="123">
        <v>88</v>
      </c>
      <c r="W50" s="123">
        <v>88</v>
      </c>
    </row>
    <row r="51" spans="2:23" ht="14.4" customHeight="1" x14ac:dyDescent="0.3">
      <c r="B51" t="s">
        <v>59</v>
      </c>
      <c r="F51" s="30">
        <v>1</v>
      </c>
      <c r="G51" s="30">
        <v>1</v>
      </c>
      <c r="H51" s="1">
        <v>87</v>
      </c>
      <c r="I51" s="1">
        <v>88</v>
      </c>
      <c r="J51" s="1">
        <v>88</v>
      </c>
      <c r="K51" s="1">
        <v>88</v>
      </c>
      <c r="L51" s="24">
        <v>90</v>
      </c>
      <c r="M51" s="24">
        <v>91</v>
      </c>
      <c r="N51" s="24">
        <v>90</v>
      </c>
      <c r="O51" s="24">
        <v>90</v>
      </c>
      <c r="P51" s="24">
        <v>90</v>
      </c>
      <c r="Q51" s="24">
        <v>90</v>
      </c>
      <c r="R51" s="175"/>
      <c r="S51" s="175"/>
      <c r="T51" s="123">
        <v>88</v>
      </c>
      <c r="U51" s="123">
        <v>88</v>
      </c>
      <c r="V51" s="123">
        <v>88</v>
      </c>
      <c r="W51" s="123">
        <v>88</v>
      </c>
    </row>
    <row r="52" spans="2:23" ht="14.4" customHeight="1" x14ac:dyDescent="0.3">
      <c r="B52" t="s">
        <v>60</v>
      </c>
      <c r="F52" s="30">
        <v>1</v>
      </c>
      <c r="G52" s="30">
        <v>1</v>
      </c>
      <c r="H52" s="1">
        <v>87</v>
      </c>
      <c r="I52" s="1">
        <v>88</v>
      </c>
      <c r="J52" s="1">
        <v>88</v>
      </c>
      <c r="K52" s="1">
        <v>88</v>
      </c>
      <c r="L52" s="24">
        <v>90</v>
      </c>
      <c r="M52" s="24">
        <v>91</v>
      </c>
      <c r="N52" s="24">
        <v>90</v>
      </c>
      <c r="O52" s="24">
        <v>90</v>
      </c>
      <c r="P52" s="24">
        <v>90</v>
      </c>
      <c r="Q52" s="24">
        <v>90</v>
      </c>
      <c r="R52" s="175"/>
      <c r="S52" s="175"/>
      <c r="T52" s="123">
        <v>88</v>
      </c>
      <c r="U52" s="123">
        <v>88</v>
      </c>
      <c r="V52" s="123">
        <v>88</v>
      </c>
      <c r="W52" s="123">
        <v>88</v>
      </c>
    </row>
    <row r="53" spans="2:23" ht="14.4" customHeight="1" x14ac:dyDescent="0.3">
      <c r="B53" t="s">
        <v>61</v>
      </c>
      <c r="F53" s="30">
        <v>1</v>
      </c>
      <c r="G53" s="30">
        <v>1</v>
      </c>
      <c r="H53" s="1">
        <v>87</v>
      </c>
      <c r="I53" s="1">
        <v>88</v>
      </c>
      <c r="J53" s="1">
        <v>88</v>
      </c>
      <c r="K53" s="1">
        <v>88</v>
      </c>
      <c r="L53" s="24">
        <v>90</v>
      </c>
      <c r="M53" s="24">
        <v>91</v>
      </c>
      <c r="N53" s="24">
        <v>90</v>
      </c>
      <c r="O53" s="24">
        <v>90</v>
      </c>
      <c r="P53" s="24">
        <v>90</v>
      </c>
      <c r="Q53" s="24">
        <v>90</v>
      </c>
      <c r="R53" s="175"/>
      <c r="S53" s="175"/>
      <c r="T53" s="123">
        <v>88</v>
      </c>
      <c r="U53" s="123">
        <v>88</v>
      </c>
      <c r="V53" s="123">
        <v>88</v>
      </c>
      <c r="W53" s="123">
        <v>88</v>
      </c>
    </row>
    <row r="54" spans="2:23" ht="14.4" customHeight="1" x14ac:dyDescent="0.3">
      <c r="B54" t="s">
        <v>62</v>
      </c>
      <c r="F54" s="30">
        <v>1</v>
      </c>
      <c r="G54" s="30">
        <v>1</v>
      </c>
      <c r="H54" s="1">
        <v>87</v>
      </c>
      <c r="I54" s="1">
        <v>88</v>
      </c>
      <c r="J54" s="1">
        <v>88</v>
      </c>
      <c r="K54" s="1">
        <v>88</v>
      </c>
      <c r="L54" s="24">
        <v>90</v>
      </c>
      <c r="M54" s="24">
        <v>91</v>
      </c>
      <c r="N54" s="24">
        <v>90</v>
      </c>
      <c r="O54" s="24">
        <v>90</v>
      </c>
      <c r="P54" s="24">
        <v>90</v>
      </c>
      <c r="Q54" s="24">
        <v>90</v>
      </c>
      <c r="R54" s="175"/>
      <c r="S54" s="175"/>
      <c r="T54" s="123">
        <v>88</v>
      </c>
      <c r="U54" s="123">
        <v>88</v>
      </c>
      <c r="V54" s="123">
        <v>88</v>
      </c>
      <c r="W54" s="123">
        <v>88</v>
      </c>
    </row>
    <row r="55" spans="2:23" ht="14.4" customHeight="1" x14ac:dyDescent="0.3">
      <c r="B55" t="s">
        <v>63</v>
      </c>
      <c r="F55" s="30">
        <v>1</v>
      </c>
      <c r="G55" s="30">
        <v>1</v>
      </c>
      <c r="H55" s="1">
        <v>87</v>
      </c>
      <c r="I55" s="1">
        <v>88</v>
      </c>
      <c r="J55" s="1">
        <v>88</v>
      </c>
      <c r="K55" s="1">
        <v>88</v>
      </c>
      <c r="L55" s="24">
        <v>90</v>
      </c>
      <c r="M55" s="24">
        <v>91</v>
      </c>
      <c r="N55" s="24">
        <v>90</v>
      </c>
      <c r="O55" s="24">
        <v>90</v>
      </c>
      <c r="P55" s="24">
        <v>90</v>
      </c>
      <c r="Q55" s="24">
        <v>90</v>
      </c>
      <c r="R55" s="175"/>
      <c r="S55" s="175"/>
      <c r="T55" s="123">
        <v>88</v>
      </c>
      <c r="U55" s="123">
        <v>88</v>
      </c>
      <c r="V55" s="123">
        <v>88</v>
      </c>
      <c r="W55" s="123">
        <v>88</v>
      </c>
    </row>
    <row r="56" spans="2:23" ht="14.4" customHeight="1" x14ac:dyDescent="0.3">
      <c r="B56" t="s">
        <v>64</v>
      </c>
      <c r="F56" s="30">
        <v>1</v>
      </c>
      <c r="G56" s="30">
        <v>1</v>
      </c>
      <c r="H56" s="1">
        <v>87</v>
      </c>
      <c r="I56" s="1">
        <v>88</v>
      </c>
      <c r="J56" s="1">
        <v>88</v>
      </c>
      <c r="K56" s="1">
        <v>88</v>
      </c>
      <c r="L56" s="24">
        <v>90</v>
      </c>
      <c r="M56" s="24">
        <v>91</v>
      </c>
      <c r="N56" s="24">
        <v>90</v>
      </c>
      <c r="O56" s="24">
        <v>90</v>
      </c>
      <c r="P56" s="24">
        <v>90</v>
      </c>
      <c r="Q56" s="24">
        <v>90</v>
      </c>
      <c r="R56" s="175"/>
      <c r="S56" s="175"/>
      <c r="T56" s="123">
        <v>88</v>
      </c>
      <c r="U56" s="123">
        <v>88</v>
      </c>
      <c r="V56" s="123">
        <v>88</v>
      </c>
      <c r="W56" s="123">
        <v>88</v>
      </c>
    </row>
    <row r="57" spans="2:23" ht="14.4" customHeight="1" x14ac:dyDescent="0.3">
      <c r="B57" t="s">
        <v>65</v>
      </c>
      <c r="F57" s="30">
        <v>1</v>
      </c>
      <c r="G57" s="30">
        <v>1</v>
      </c>
      <c r="H57" s="1">
        <v>87</v>
      </c>
      <c r="I57" s="1">
        <v>88</v>
      </c>
      <c r="J57" s="1">
        <v>88</v>
      </c>
      <c r="K57" s="1">
        <v>88</v>
      </c>
      <c r="L57" s="24">
        <v>90</v>
      </c>
      <c r="M57" s="24">
        <v>91</v>
      </c>
      <c r="N57" s="24">
        <v>90</v>
      </c>
      <c r="O57" s="24">
        <v>90</v>
      </c>
      <c r="P57" s="24">
        <v>90</v>
      </c>
      <c r="Q57" s="24">
        <v>90</v>
      </c>
      <c r="R57" s="175"/>
      <c r="S57" s="175"/>
      <c r="T57" s="123">
        <v>88</v>
      </c>
      <c r="U57" s="123">
        <v>88</v>
      </c>
      <c r="V57" s="123">
        <v>88</v>
      </c>
      <c r="W57" s="123">
        <v>88</v>
      </c>
    </row>
    <row r="58" spans="2:23" ht="14.4" customHeight="1" x14ac:dyDescent="0.3">
      <c r="B58" t="s">
        <v>66</v>
      </c>
      <c r="F58" s="30">
        <v>1</v>
      </c>
      <c r="G58" s="30">
        <v>1</v>
      </c>
      <c r="H58" s="1">
        <v>87</v>
      </c>
      <c r="I58" s="1">
        <v>88</v>
      </c>
      <c r="J58" s="1">
        <v>88</v>
      </c>
      <c r="K58" s="1">
        <v>88</v>
      </c>
      <c r="L58" s="24">
        <v>90</v>
      </c>
      <c r="M58" s="24">
        <v>91</v>
      </c>
      <c r="N58" s="24">
        <v>90</v>
      </c>
      <c r="O58" s="24">
        <v>90</v>
      </c>
      <c r="P58" s="24">
        <v>90</v>
      </c>
      <c r="Q58" s="24">
        <v>90</v>
      </c>
      <c r="R58" s="175"/>
      <c r="S58" s="175"/>
      <c r="T58" s="123">
        <v>88</v>
      </c>
      <c r="U58" s="123">
        <v>88</v>
      </c>
      <c r="V58" s="123">
        <v>88</v>
      </c>
      <c r="W58" s="123">
        <v>88</v>
      </c>
    </row>
    <row r="59" spans="2:23" ht="14.4" customHeight="1" x14ac:dyDescent="0.3">
      <c r="B59" t="s">
        <v>67</v>
      </c>
      <c r="F59" s="30">
        <v>1</v>
      </c>
      <c r="G59" s="30">
        <v>1</v>
      </c>
      <c r="H59" s="1">
        <v>87</v>
      </c>
      <c r="I59" s="1">
        <v>88</v>
      </c>
      <c r="J59" s="1">
        <v>88</v>
      </c>
      <c r="K59" s="1">
        <v>88</v>
      </c>
      <c r="L59" s="24">
        <v>90</v>
      </c>
      <c r="M59" s="24">
        <v>91</v>
      </c>
      <c r="N59" s="24">
        <v>90</v>
      </c>
      <c r="O59" s="24">
        <v>90</v>
      </c>
      <c r="P59" s="24">
        <v>90</v>
      </c>
      <c r="Q59" s="24">
        <v>90</v>
      </c>
      <c r="R59" s="175"/>
      <c r="S59" s="175"/>
      <c r="T59" s="123">
        <v>88</v>
      </c>
      <c r="U59" s="123">
        <v>88</v>
      </c>
      <c r="V59" s="123">
        <v>88</v>
      </c>
      <c r="W59" s="123">
        <v>88</v>
      </c>
    </row>
    <row r="60" spans="2:23" ht="14.4" customHeight="1" x14ac:dyDescent="0.3">
      <c r="B60" t="s">
        <v>68</v>
      </c>
      <c r="F60" s="30">
        <v>1</v>
      </c>
      <c r="G60" s="30">
        <v>1</v>
      </c>
      <c r="H60" s="1">
        <v>87</v>
      </c>
      <c r="I60" s="1">
        <v>88</v>
      </c>
      <c r="J60" s="1">
        <v>88</v>
      </c>
      <c r="K60" s="1">
        <v>88</v>
      </c>
      <c r="L60" s="24">
        <v>90</v>
      </c>
      <c r="M60" s="24">
        <v>91</v>
      </c>
      <c r="N60" s="24">
        <v>90</v>
      </c>
      <c r="O60" s="24">
        <v>90</v>
      </c>
      <c r="P60" s="24">
        <v>90</v>
      </c>
      <c r="Q60" s="24">
        <v>90</v>
      </c>
      <c r="R60" s="175"/>
      <c r="S60" s="175"/>
      <c r="T60" s="123">
        <v>88</v>
      </c>
      <c r="U60" s="123">
        <v>88</v>
      </c>
      <c r="V60" s="123">
        <v>88</v>
      </c>
      <c r="W60" s="123">
        <v>88</v>
      </c>
    </row>
    <row r="61" spans="2:23" ht="14.4" customHeight="1" x14ac:dyDescent="0.3">
      <c r="B61" t="s">
        <v>69</v>
      </c>
      <c r="F61" s="30">
        <v>1</v>
      </c>
      <c r="G61" s="30">
        <v>1</v>
      </c>
      <c r="H61" s="1">
        <v>87</v>
      </c>
      <c r="I61" s="1">
        <v>88</v>
      </c>
      <c r="J61" s="1">
        <v>88</v>
      </c>
      <c r="K61" s="1">
        <v>88</v>
      </c>
      <c r="L61" s="24">
        <v>90</v>
      </c>
      <c r="M61" s="24">
        <v>91</v>
      </c>
      <c r="N61" s="24">
        <v>90</v>
      </c>
      <c r="O61" s="24">
        <v>90</v>
      </c>
      <c r="P61" s="24">
        <v>90</v>
      </c>
      <c r="Q61" s="24">
        <v>90</v>
      </c>
      <c r="R61" s="175"/>
      <c r="S61" s="175"/>
      <c r="T61" s="123">
        <v>88</v>
      </c>
      <c r="U61" s="123">
        <v>88</v>
      </c>
      <c r="V61" s="123">
        <v>88</v>
      </c>
      <c r="W61" s="123">
        <v>88</v>
      </c>
    </row>
    <row r="62" spans="2:23" ht="14.4" customHeight="1" x14ac:dyDescent="0.3">
      <c r="B62" t="s">
        <v>70</v>
      </c>
      <c r="F62" s="30">
        <v>1</v>
      </c>
      <c r="G62" s="30">
        <v>1</v>
      </c>
      <c r="H62" s="1">
        <v>87</v>
      </c>
      <c r="I62" s="1">
        <v>88</v>
      </c>
      <c r="J62" s="1">
        <v>88</v>
      </c>
      <c r="K62" s="1">
        <v>88</v>
      </c>
      <c r="L62" s="24">
        <v>90</v>
      </c>
      <c r="M62" s="24">
        <v>91</v>
      </c>
      <c r="N62" s="24">
        <v>90</v>
      </c>
      <c r="O62" s="24">
        <v>90</v>
      </c>
      <c r="P62" s="24">
        <v>90</v>
      </c>
      <c r="Q62" s="24">
        <v>90</v>
      </c>
      <c r="R62" s="175"/>
      <c r="S62" s="175"/>
      <c r="T62" s="123">
        <v>88</v>
      </c>
      <c r="U62" s="123">
        <v>88</v>
      </c>
      <c r="V62" s="123">
        <v>88</v>
      </c>
      <c r="W62" s="123">
        <v>88</v>
      </c>
    </row>
    <row r="63" spans="2:23" ht="14.4" customHeight="1" x14ac:dyDescent="0.3">
      <c r="B63" t="s">
        <v>71</v>
      </c>
      <c r="F63" s="30">
        <v>1</v>
      </c>
      <c r="G63" s="30">
        <v>1</v>
      </c>
      <c r="H63" s="1">
        <v>87</v>
      </c>
      <c r="I63" s="1">
        <v>88</v>
      </c>
      <c r="J63" s="1">
        <v>88</v>
      </c>
      <c r="K63" s="1">
        <v>88</v>
      </c>
      <c r="L63" s="24">
        <v>90</v>
      </c>
      <c r="M63" s="24">
        <v>91</v>
      </c>
      <c r="N63" s="24">
        <v>90</v>
      </c>
      <c r="O63" s="24">
        <v>90</v>
      </c>
      <c r="P63" s="24">
        <v>90</v>
      </c>
      <c r="Q63" s="24">
        <v>90</v>
      </c>
      <c r="R63" s="175"/>
      <c r="S63" s="175"/>
      <c r="T63" s="123">
        <v>88</v>
      </c>
      <c r="U63" s="123">
        <v>88</v>
      </c>
      <c r="V63" s="123">
        <v>88</v>
      </c>
      <c r="W63" s="123">
        <v>88</v>
      </c>
    </row>
    <row r="64" spans="2:23" ht="14.4" customHeight="1" x14ac:dyDescent="0.3">
      <c r="B64" s="69" t="s">
        <v>72</v>
      </c>
      <c r="F64" s="30">
        <v>1</v>
      </c>
      <c r="G64" s="30">
        <v>1</v>
      </c>
      <c r="H64" s="1">
        <v>87</v>
      </c>
      <c r="I64" s="1">
        <v>88</v>
      </c>
      <c r="J64" s="1">
        <v>88</v>
      </c>
      <c r="K64" s="1">
        <v>88</v>
      </c>
      <c r="L64" s="24">
        <v>90</v>
      </c>
      <c r="M64" s="24">
        <v>91</v>
      </c>
      <c r="N64" s="24">
        <v>90</v>
      </c>
      <c r="O64" s="24">
        <v>0</v>
      </c>
      <c r="P64" s="24">
        <v>0</v>
      </c>
      <c r="Q64" s="24">
        <v>0</v>
      </c>
      <c r="R64" s="175"/>
      <c r="S64" s="175"/>
      <c r="T64" s="24">
        <v>0</v>
      </c>
      <c r="U64" s="24">
        <v>0</v>
      </c>
      <c r="V64" s="24">
        <v>0</v>
      </c>
      <c r="W64" s="24">
        <v>0</v>
      </c>
    </row>
    <row r="65" spans="1:23" ht="14.4" customHeight="1" x14ac:dyDescent="0.3">
      <c r="B65" s="69" t="s">
        <v>73</v>
      </c>
      <c r="F65" s="30">
        <v>1</v>
      </c>
      <c r="G65" s="30">
        <v>1</v>
      </c>
      <c r="H65" s="1">
        <v>87</v>
      </c>
      <c r="I65" s="1">
        <v>88</v>
      </c>
      <c r="J65" s="1">
        <v>88</v>
      </c>
      <c r="K65" s="1">
        <v>88</v>
      </c>
      <c r="L65" s="24">
        <v>90</v>
      </c>
      <c r="M65" s="24">
        <v>91</v>
      </c>
      <c r="N65" s="24">
        <v>30</v>
      </c>
      <c r="O65" s="24">
        <v>90</v>
      </c>
      <c r="P65" s="24">
        <v>30</v>
      </c>
      <c r="Q65" s="24">
        <v>0</v>
      </c>
      <c r="R65" s="175"/>
      <c r="S65" s="175"/>
      <c r="T65" s="24">
        <v>0</v>
      </c>
      <c r="U65" s="24">
        <v>0</v>
      </c>
      <c r="V65" s="24">
        <v>0</v>
      </c>
      <c r="W65" s="24">
        <v>0</v>
      </c>
    </row>
    <row r="66" spans="1:23" ht="14.4" customHeight="1" x14ac:dyDescent="0.3">
      <c r="B66" t="s">
        <v>74</v>
      </c>
      <c r="F66" s="30">
        <v>1</v>
      </c>
      <c r="G66" s="30">
        <v>1</v>
      </c>
      <c r="H66" s="1">
        <v>87</v>
      </c>
      <c r="I66" s="1">
        <v>88</v>
      </c>
      <c r="J66" s="1">
        <v>88</v>
      </c>
      <c r="K66" s="1">
        <v>88</v>
      </c>
      <c r="L66" s="24">
        <v>90</v>
      </c>
      <c r="M66" s="24">
        <v>91</v>
      </c>
      <c r="N66" s="24">
        <v>90</v>
      </c>
      <c r="O66" s="24">
        <v>90</v>
      </c>
      <c r="P66" s="24">
        <v>90</v>
      </c>
      <c r="Q66" s="24">
        <v>90</v>
      </c>
      <c r="R66" s="175"/>
      <c r="S66" s="175"/>
      <c r="T66" s="123">
        <v>88</v>
      </c>
      <c r="U66" s="123">
        <v>88</v>
      </c>
      <c r="V66" s="123">
        <v>88</v>
      </c>
      <c r="W66" s="123">
        <v>88</v>
      </c>
    </row>
    <row r="67" spans="1:23" ht="14.4" customHeight="1" x14ac:dyDescent="0.3">
      <c r="B67" t="s">
        <v>75</v>
      </c>
      <c r="F67" s="30">
        <v>1</v>
      </c>
      <c r="G67" s="30">
        <v>1</v>
      </c>
      <c r="H67" s="1">
        <v>87</v>
      </c>
      <c r="I67" s="1">
        <v>88</v>
      </c>
      <c r="J67" s="1">
        <v>88</v>
      </c>
      <c r="K67" s="1">
        <v>88</v>
      </c>
      <c r="L67" s="24">
        <v>90</v>
      </c>
      <c r="M67" s="24">
        <v>91</v>
      </c>
      <c r="N67" s="24">
        <v>90</v>
      </c>
      <c r="O67" s="24">
        <v>90</v>
      </c>
      <c r="P67" s="24">
        <v>90</v>
      </c>
      <c r="Q67" s="24">
        <v>90</v>
      </c>
      <c r="R67" s="175"/>
      <c r="S67" s="175"/>
      <c r="T67" s="123">
        <v>88</v>
      </c>
      <c r="U67" s="123">
        <v>88</v>
      </c>
      <c r="V67" s="123">
        <v>88</v>
      </c>
      <c r="W67" s="123">
        <v>88</v>
      </c>
    </row>
    <row r="68" spans="1:23" ht="14.4" customHeight="1" x14ac:dyDescent="0.3">
      <c r="B68" s="69" t="s">
        <v>76</v>
      </c>
      <c r="F68" s="30">
        <v>1</v>
      </c>
      <c r="G68" s="30"/>
      <c r="H68" s="1">
        <v>87</v>
      </c>
      <c r="I68" s="1">
        <v>88</v>
      </c>
      <c r="J68" s="1">
        <v>88</v>
      </c>
      <c r="K68" s="1">
        <v>30</v>
      </c>
      <c r="L68" s="24">
        <v>90</v>
      </c>
      <c r="M68" s="24">
        <v>91</v>
      </c>
      <c r="N68" s="24">
        <v>90</v>
      </c>
      <c r="O68" s="24">
        <v>90</v>
      </c>
      <c r="P68" s="24">
        <v>90</v>
      </c>
      <c r="Q68" s="24">
        <v>90</v>
      </c>
      <c r="R68" s="175"/>
      <c r="S68" s="175"/>
      <c r="T68" s="24">
        <v>0</v>
      </c>
      <c r="U68" s="24">
        <v>0</v>
      </c>
      <c r="V68" s="24">
        <v>0</v>
      </c>
      <c r="W68" s="24">
        <v>0</v>
      </c>
    </row>
    <row r="69" spans="1:23" ht="14.4" customHeight="1" x14ac:dyDescent="0.3">
      <c r="B69" s="69" t="s">
        <v>77</v>
      </c>
      <c r="F69" s="30">
        <v>1</v>
      </c>
      <c r="G69" s="30"/>
      <c r="H69" s="1">
        <v>87</v>
      </c>
      <c r="I69" s="1">
        <v>88</v>
      </c>
      <c r="J69" s="1">
        <v>88</v>
      </c>
      <c r="K69" s="1">
        <v>88</v>
      </c>
      <c r="L69" s="24">
        <v>90</v>
      </c>
      <c r="M69" s="24">
        <v>91</v>
      </c>
      <c r="N69" s="24">
        <v>90</v>
      </c>
      <c r="O69" s="24">
        <v>90</v>
      </c>
      <c r="P69" s="24">
        <v>90</v>
      </c>
      <c r="Q69" s="24">
        <v>90</v>
      </c>
      <c r="R69" s="175"/>
      <c r="S69" s="175"/>
      <c r="T69" s="24">
        <v>0</v>
      </c>
      <c r="U69" s="24">
        <v>0</v>
      </c>
      <c r="V69" s="24">
        <v>0</v>
      </c>
      <c r="W69" s="24">
        <v>0</v>
      </c>
    </row>
    <row r="70" spans="1:23" ht="14.4" customHeight="1" x14ac:dyDescent="0.3">
      <c r="B70" s="69" t="s">
        <v>78</v>
      </c>
      <c r="F70" s="30">
        <v>1</v>
      </c>
      <c r="G70" s="30"/>
      <c r="H70" s="1">
        <v>87</v>
      </c>
      <c r="I70" s="1">
        <v>88</v>
      </c>
      <c r="J70" s="1">
        <v>88</v>
      </c>
      <c r="K70" s="1">
        <v>88</v>
      </c>
      <c r="L70" s="24">
        <v>90</v>
      </c>
      <c r="M70" s="24">
        <v>91</v>
      </c>
      <c r="N70" s="24">
        <v>90</v>
      </c>
      <c r="O70" s="24">
        <v>90</v>
      </c>
      <c r="P70" s="24">
        <v>90</v>
      </c>
      <c r="Q70" s="24">
        <v>90</v>
      </c>
      <c r="R70" s="175"/>
      <c r="S70" s="175"/>
      <c r="T70" s="24">
        <v>0</v>
      </c>
      <c r="U70" s="24">
        <v>0</v>
      </c>
      <c r="V70" s="24">
        <v>0</v>
      </c>
      <c r="W70" s="24">
        <v>0</v>
      </c>
    </row>
    <row r="71" spans="1:23" ht="14.4" customHeight="1" x14ac:dyDescent="0.3">
      <c r="B71" s="69" t="s">
        <v>79</v>
      </c>
      <c r="F71" s="30">
        <v>1</v>
      </c>
      <c r="G71" s="30"/>
      <c r="H71" s="1">
        <v>87</v>
      </c>
      <c r="I71" s="1">
        <v>88</v>
      </c>
      <c r="J71" s="1">
        <v>88</v>
      </c>
      <c r="K71" s="1">
        <v>88</v>
      </c>
      <c r="L71" s="24">
        <v>90</v>
      </c>
      <c r="M71" s="24">
        <v>91</v>
      </c>
      <c r="N71" s="24">
        <v>0</v>
      </c>
      <c r="O71" s="24">
        <v>0</v>
      </c>
      <c r="P71" s="24">
        <v>0</v>
      </c>
      <c r="Q71" s="24">
        <v>0</v>
      </c>
      <c r="R71" s="175"/>
      <c r="S71" s="175"/>
      <c r="T71" s="24">
        <v>0</v>
      </c>
      <c r="U71" s="24">
        <v>0</v>
      </c>
      <c r="V71" s="24">
        <v>0</v>
      </c>
      <c r="W71" s="24">
        <v>0</v>
      </c>
    </row>
    <row r="72" spans="1:23" ht="14.4" customHeight="1" x14ac:dyDescent="0.3">
      <c r="B72" t="s">
        <v>83</v>
      </c>
      <c r="F72" s="30">
        <v>1</v>
      </c>
      <c r="G72" s="30">
        <v>1</v>
      </c>
      <c r="H72" s="1">
        <v>87</v>
      </c>
      <c r="I72" s="1">
        <v>88</v>
      </c>
      <c r="J72" s="1">
        <v>88</v>
      </c>
      <c r="K72" s="1">
        <v>88</v>
      </c>
      <c r="L72" s="24">
        <v>90</v>
      </c>
      <c r="M72" s="24">
        <v>91</v>
      </c>
      <c r="N72" s="24">
        <v>90</v>
      </c>
      <c r="O72" s="24">
        <v>90</v>
      </c>
      <c r="P72" s="24">
        <v>90</v>
      </c>
      <c r="Q72" s="24">
        <v>90</v>
      </c>
      <c r="R72" s="175"/>
      <c r="S72" s="175"/>
      <c r="T72" s="123">
        <v>88</v>
      </c>
      <c r="U72" s="123">
        <v>88</v>
      </c>
      <c r="V72" s="123">
        <v>88</v>
      </c>
      <c r="W72" s="123">
        <v>88</v>
      </c>
    </row>
    <row r="73" spans="1:23" ht="14.4" customHeight="1" x14ac:dyDescent="0.3">
      <c r="B73" t="s">
        <v>210</v>
      </c>
      <c r="F73" s="30"/>
      <c r="G73" s="30"/>
      <c r="L73" s="24"/>
      <c r="M73" s="24"/>
      <c r="N73" s="24"/>
      <c r="O73" s="24"/>
      <c r="P73" s="24"/>
      <c r="Q73" s="24">
        <v>90</v>
      </c>
      <c r="R73" s="175"/>
      <c r="S73" s="175"/>
      <c r="T73" s="123">
        <v>88</v>
      </c>
      <c r="U73" s="123">
        <v>88</v>
      </c>
      <c r="V73" s="123">
        <v>88</v>
      </c>
      <c r="W73" s="123">
        <v>88</v>
      </c>
    </row>
    <row r="74" spans="1:23" ht="14.4" customHeight="1" x14ac:dyDescent="0.3">
      <c r="B74" s="29" t="s">
        <v>211</v>
      </c>
      <c r="F74" s="30"/>
      <c r="G74" s="30"/>
      <c r="L74" s="24"/>
      <c r="M74" s="24"/>
      <c r="N74" s="24"/>
      <c r="O74" s="24"/>
      <c r="P74" s="24"/>
      <c r="Q74" s="24"/>
      <c r="R74" s="175"/>
      <c r="S74" s="175"/>
      <c r="T74" s="123">
        <v>88</v>
      </c>
      <c r="U74" s="123">
        <v>88</v>
      </c>
      <c r="V74" s="123">
        <v>88</v>
      </c>
      <c r="W74" s="123">
        <v>88</v>
      </c>
    </row>
    <row r="75" spans="1:23" ht="14.4" customHeight="1" x14ac:dyDescent="0.3">
      <c r="B75" s="29" t="s">
        <v>212</v>
      </c>
      <c r="F75" s="30"/>
      <c r="G75" s="30"/>
      <c r="L75" s="24"/>
      <c r="M75" s="24"/>
      <c r="N75" s="24"/>
      <c r="O75" s="24"/>
      <c r="P75" s="24"/>
      <c r="Q75" s="24"/>
      <c r="R75" s="175"/>
      <c r="S75" s="175"/>
      <c r="T75" s="123">
        <v>88</v>
      </c>
      <c r="U75" s="123">
        <v>88</v>
      </c>
      <c r="V75" s="123">
        <v>88</v>
      </c>
      <c r="W75" s="123">
        <v>88</v>
      </c>
    </row>
    <row r="76" spans="1:23" ht="14.4" customHeight="1" x14ac:dyDescent="0.3">
      <c r="B76" s="29" t="s">
        <v>213</v>
      </c>
      <c r="F76" s="30"/>
      <c r="G76" s="30"/>
      <c r="L76" s="24"/>
      <c r="M76" s="24"/>
      <c r="N76" s="24"/>
      <c r="O76" s="24"/>
      <c r="P76" s="24"/>
      <c r="Q76" s="24"/>
      <c r="R76" s="175"/>
      <c r="S76" s="175"/>
      <c r="T76" s="123">
        <v>60</v>
      </c>
      <c r="U76" s="123">
        <v>88</v>
      </c>
      <c r="V76" s="123">
        <v>88</v>
      </c>
      <c r="W76" s="123">
        <v>88</v>
      </c>
    </row>
    <row r="77" spans="1:23" ht="14.4" customHeight="1" x14ac:dyDescent="0.3">
      <c r="B77" s="164" t="s">
        <v>214</v>
      </c>
      <c r="R77" s="49"/>
      <c r="S77" s="175"/>
      <c r="T77" s="123">
        <v>60</v>
      </c>
      <c r="U77" s="123">
        <v>88</v>
      </c>
      <c r="V77" s="123">
        <v>88</v>
      </c>
      <c r="W77" s="123">
        <v>88</v>
      </c>
    </row>
    <row r="80" spans="1:23" ht="14.4" customHeight="1" x14ac:dyDescent="0.3">
      <c r="A80" s="154" t="s">
        <v>10</v>
      </c>
      <c r="B80" s="105" t="s">
        <v>248</v>
      </c>
      <c r="C80" s="106"/>
      <c r="D80" s="106"/>
      <c r="E80" s="106"/>
      <c r="F80" s="107" t="s">
        <v>153</v>
      </c>
      <c r="G80" s="107" t="s">
        <v>151</v>
      </c>
      <c r="H80" s="106"/>
      <c r="I80" s="106"/>
      <c r="J80" s="106"/>
      <c r="K80" s="106"/>
      <c r="L80" s="106"/>
      <c r="M80" s="106"/>
      <c r="N80" s="106"/>
      <c r="O80" s="106"/>
      <c r="P80" s="106"/>
      <c r="Q80" s="106"/>
      <c r="R80" s="106"/>
      <c r="S80" s="106"/>
      <c r="T80" s="106"/>
      <c r="U80" s="106"/>
      <c r="V80" s="106"/>
      <c r="W80" s="106"/>
    </row>
    <row r="81" spans="2:23" ht="14.4" customHeight="1" x14ac:dyDescent="0.3">
      <c r="B81" t="s">
        <v>56</v>
      </c>
      <c r="F81" s="30">
        <v>1</v>
      </c>
      <c r="G81" s="30">
        <v>1</v>
      </c>
      <c r="H81" s="1" t="e">
        <f>H49*NAV!#REF!</f>
        <v>#REF!</v>
      </c>
      <c r="I81" s="1" t="e">
        <f>I49*NAV!#REF!</f>
        <v>#REF!</v>
      </c>
      <c r="J81" s="1" t="e">
        <f>J49*NAV!#REF!</f>
        <v>#REF!</v>
      </c>
      <c r="K81" s="1" t="e">
        <f>K49*NAV!#REF!</f>
        <v>#REF!</v>
      </c>
      <c r="L81" s="1" t="e">
        <f>L49*NAV!#REF!</f>
        <v>#REF!</v>
      </c>
      <c r="M81" s="1" t="e">
        <f>M49*NAV!#REF!</f>
        <v>#REF!</v>
      </c>
      <c r="R81" s="49"/>
      <c r="S81" s="49"/>
      <c r="T81" s="1">
        <f>T49*NAV!P$27</f>
        <v>12093840</v>
      </c>
      <c r="U81" s="1">
        <f>U49*NAV!Q$27</f>
        <v>11851963.199999999</v>
      </c>
      <c r="V81" s="1">
        <f>V49*NAV!R$27</f>
        <v>9481570.5599999987</v>
      </c>
      <c r="W81" s="1">
        <f>W49*NAV!S$27</f>
        <v>7585256.4480000008</v>
      </c>
    </row>
    <row r="82" spans="2:23" ht="14.4" customHeight="1" x14ac:dyDescent="0.3">
      <c r="B82" t="s">
        <v>57</v>
      </c>
      <c r="F82" s="30">
        <v>1</v>
      </c>
      <c r="G82" s="30">
        <v>1</v>
      </c>
      <c r="H82" s="1" t="e">
        <f>H50*NAV!#REF!</f>
        <v>#REF!</v>
      </c>
      <c r="I82" s="1" t="e">
        <f>I50*NAV!#REF!</f>
        <v>#REF!</v>
      </c>
      <c r="J82" s="1" t="e">
        <f>J50*NAV!#REF!</f>
        <v>#REF!</v>
      </c>
      <c r="K82" s="1" t="e">
        <f>K50*NAV!#REF!</f>
        <v>#REF!</v>
      </c>
      <c r="L82" s="1" t="e">
        <f>L50*NAV!#REF!</f>
        <v>#REF!</v>
      </c>
      <c r="M82" s="1" t="e">
        <f>M50*NAV!#REF!</f>
        <v>#REF!</v>
      </c>
      <c r="R82" s="49"/>
      <c r="S82" s="49"/>
      <c r="T82" s="1">
        <f>T50*NAV!P$27</f>
        <v>12093840</v>
      </c>
      <c r="U82" s="1">
        <f>U50*NAV!Q$27</f>
        <v>11851963.199999999</v>
      </c>
      <c r="V82" s="1">
        <f>V50*NAV!R$27</f>
        <v>9481570.5599999987</v>
      </c>
      <c r="W82" s="1">
        <f>W50*NAV!S$27</f>
        <v>7585256.4480000008</v>
      </c>
    </row>
    <row r="83" spans="2:23" ht="14.4" customHeight="1" x14ac:dyDescent="0.3">
      <c r="B83" t="s">
        <v>59</v>
      </c>
      <c r="F83" s="30">
        <v>1</v>
      </c>
      <c r="G83" s="30">
        <v>1</v>
      </c>
      <c r="H83" s="1" t="e">
        <f>H51*NAV!#REF!</f>
        <v>#REF!</v>
      </c>
      <c r="I83" s="1" t="e">
        <f>I51*NAV!#REF!</f>
        <v>#REF!</v>
      </c>
      <c r="J83" s="1" t="e">
        <f>J51*NAV!#REF!</f>
        <v>#REF!</v>
      </c>
      <c r="K83" s="1" t="e">
        <f>K51*NAV!#REF!</f>
        <v>#REF!</v>
      </c>
      <c r="L83" s="1" t="e">
        <f>L51*NAV!#REF!</f>
        <v>#REF!</v>
      </c>
      <c r="M83" s="1" t="e">
        <f>M51*NAV!#REF!</f>
        <v>#REF!</v>
      </c>
      <c r="R83" s="49"/>
      <c r="S83" s="49"/>
      <c r="T83" s="1">
        <f>T51*NAV!P$27</f>
        <v>12093840</v>
      </c>
      <c r="U83" s="1">
        <f>U51*NAV!Q$27</f>
        <v>11851963.199999999</v>
      </c>
      <c r="V83" s="1">
        <f>V51*NAV!R$27</f>
        <v>9481570.5599999987</v>
      </c>
      <c r="W83" s="1">
        <f>W51*NAV!S$27</f>
        <v>7585256.4480000008</v>
      </c>
    </row>
    <row r="84" spans="2:23" ht="14.4" customHeight="1" x14ac:dyDescent="0.3">
      <c r="B84" t="s">
        <v>60</v>
      </c>
      <c r="F84" s="30">
        <v>1</v>
      </c>
      <c r="G84" s="30">
        <v>1</v>
      </c>
      <c r="H84" s="1" t="e">
        <f>H52*NAV!#REF!</f>
        <v>#REF!</v>
      </c>
      <c r="I84" s="1" t="e">
        <f>I52*NAV!#REF!</f>
        <v>#REF!</v>
      </c>
      <c r="J84" s="1" t="e">
        <f>J52*NAV!#REF!</f>
        <v>#REF!</v>
      </c>
      <c r="K84" s="1" t="e">
        <f>K52*NAV!#REF!</f>
        <v>#REF!</v>
      </c>
      <c r="L84" s="1" t="e">
        <f>L52*NAV!#REF!</f>
        <v>#REF!</v>
      </c>
      <c r="M84" s="1" t="e">
        <f>M52*NAV!#REF!</f>
        <v>#REF!</v>
      </c>
      <c r="R84" s="49"/>
      <c r="S84" s="49"/>
      <c r="T84" s="1">
        <f>T52*NAV!P$27</f>
        <v>12093840</v>
      </c>
      <c r="U84" s="1">
        <f>U52*NAV!Q$27</f>
        <v>11851963.199999999</v>
      </c>
      <c r="V84" s="1">
        <f>V52*NAV!R$27</f>
        <v>9481570.5599999987</v>
      </c>
      <c r="W84" s="1">
        <f>W52*NAV!S$27</f>
        <v>7585256.4480000008</v>
      </c>
    </row>
    <row r="85" spans="2:23" ht="14.4" customHeight="1" x14ac:dyDescent="0.3">
      <c r="B85" t="s">
        <v>61</v>
      </c>
      <c r="F85" s="30">
        <v>1</v>
      </c>
      <c r="G85" s="30">
        <v>1</v>
      </c>
      <c r="H85" s="1" t="e">
        <f>H53*NAV!#REF!</f>
        <v>#REF!</v>
      </c>
      <c r="I85" s="1" t="e">
        <f>I53*NAV!#REF!</f>
        <v>#REF!</v>
      </c>
      <c r="J85" s="1" t="e">
        <f>J53*NAV!#REF!</f>
        <v>#REF!</v>
      </c>
      <c r="K85" s="1" t="e">
        <f>K53*NAV!#REF!</f>
        <v>#REF!</v>
      </c>
      <c r="L85" s="1" t="e">
        <f>L53*NAV!#REF!</f>
        <v>#REF!</v>
      </c>
      <c r="M85" s="1" t="e">
        <f>M53*NAV!#REF!</f>
        <v>#REF!</v>
      </c>
      <c r="R85" s="49"/>
      <c r="S85" s="49"/>
      <c r="T85" s="1">
        <f>T53*NAV!P$27</f>
        <v>12093840</v>
      </c>
      <c r="U85" s="1">
        <f>U53*NAV!Q$27</f>
        <v>11851963.199999999</v>
      </c>
      <c r="V85" s="1">
        <f>V53*NAV!R$27</f>
        <v>9481570.5599999987</v>
      </c>
      <c r="W85" s="1">
        <f>W53*NAV!S$27</f>
        <v>7585256.4480000008</v>
      </c>
    </row>
    <row r="86" spans="2:23" ht="14.4" customHeight="1" x14ac:dyDescent="0.3">
      <c r="B86" t="s">
        <v>62</v>
      </c>
      <c r="F86" s="30">
        <v>1</v>
      </c>
      <c r="G86" s="30">
        <v>1</v>
      </c>
      <c r="H86" s="1" t="e">
        <f>H54*NAV!#REF!</f>
        <v>#REF!</v>
      </c>
      <c r="I86" s="1" t="e">
        <f>I54*NAV!#REF!</f>
        <v>#REF!</v>
      </c>
      <c r="J86" s="1" t="e">
        <f>J54*NAV!#REF!</f>
        <v>#REF!</v>
      </c>
      <c r="K86" s="1" t="e">
        <f>K54*NAV!#REF!</f>
        <v>#REF!</v>
      </c>
      <c r="L86" s="1" t="e">
        <f>L54*NAV!#REF!</f>
        <v>#REF!</v>
      </c>
      <c r="M86" s="1" t="e">
        <f>M54*NAV!#REF!</f>
        <v>#REF!</v>
      </c>
      <c r="R86" s="49"/>
      <c r="S86" s="49"/>
      <c r="T86" s="1">
        <f>T54*NAV!P$27</f>
        <v>12093840</v>
      </c>
      <c r="U86" s="1">
        <f>U54*NAV!Q$27</f>
        <v>11851963.199999999</v>
      </c>
      <c r="V86" s="1">
        <f>V54*NAV!R$27</f>
        <v>9481570.5599999987</v>
      </c>
      <c r="W86" s="1">
        <f>W54*NAV!S$27</f>
        <v>7585256.4480000008</v>
      </c>
    </row>
    <row r="87" spans="2:23" ht="14.4" customHeight="1" x14ac:dyDescent="0.3">
      <c r="B87" t="s">
        <v>63</v>
      </c>
      <c r="F87" s="30">
        <v>1</v>
      </c>
      <c r="G87" s="30">
        <v>1</v>
      </c>
      <c r="H87" s="1" t="e">
        <f>H55*NAV!#REF!</f>
        <v>#REF!</v>
      </c>
      <c r="I87" s="1" t="e">
        <f>I55*NAV!#REF!</f>
        <v>#REF!</v>
      </c>
      <c r="J87" s="1" t="e">
        <f>J55*NAV!#REF!</f>
        <v>#REF!</v>
      </c>
      <c r="K87" s="1" t="e">
        <f>K55*NAV!#REF!</f>
        <v>#REF!</v>
      </c>
      <c r="L87" s="1" t="e">
        <f>L55*NAV!#REF!</f>
        <v>#REF!</v>
      </c>
      <c r="M87" s="1" t="e">
        <f>M55*NAV!#REF!</f>
        <v>#REF!</v>
      </c>
      <c r="R87" s="49"/>
      <c r="S87" s="49"/>
      <c r="T87" s="1">
        <f>T55*NAV!P$27</f>
        <v>12093840</v>
      </c>
      <c r="U87" s="1">
        <f>U55*NAV!Q$27</f>
        <v>11851963.199999999</v>
      </c>
      <c r="V87" s="1">
        <f>V55*NAV!R$27</f>
        <v>9481570.5599999987</v>
      </c>
      <c r="W87" s="1">
        <f>W55*NAV!S$27</f>
        <v>7585256.4480000008</v>
      </c>
    </row>
    <row r="88" spans="2:23" ht="14.4" customHeight="1" x14ac:dyDescent="0.3">
      <c r="B88" t="s">
        <v>64</v>
      </c>
      <c r="F88" s="30">
        <v>1</v>
      </c>
      <c r="G88" s="30">
        <v>1</v>
      </c>
      <c r="H88" s="1" t="e">
        <f>H56*NAV!#REF!</f>
        <v>#REF!</v>
      </c>
      <c r="I88" s="1" t="e">
        <f>I56*NAV!#REF!</f>
        <v>#REF!</v>
      </c>
      <c r="J88" s="1" t="e">
        <f>J56*NAV!#REF!</f>
        <v>#REF!</v>
      </c>
      <c r="K88" s="1" t="e">
        <f>K56*NAV!#REF!</f>
        <v>#REF!</v>
      </c>
      <c r="L88" s="1" t="e">
        <f>L56*NAV!#REF!</f>
        <v>#REF!</v>
      </c>
      <c r="M88" s="1" t="e">
        <f>M56*NAV!#REF!</f>
        <v>#REF!</v>
      </c>
      <c r="R88" s="49"/>
      <c r="S88" s="49"/>
      <c r="T88" s="1">
        <f>T56*NAV!P$27</f>
        <v>12093840</v>
      </c>
      <c r="U88" s="1">
        <f>U56*NAV!Q$27</f>
        <v>11851963.199999999</v>
      </c>
      <c r="V88" s="1">
        <f>V56*NAV!R$27</f>
        <v>9481570.5599999987</v>
      </c>
      <c r="W88" s="1">
        <f>W56*NAV!S$27</f>
        <v>7585256.4480000008</v>
      </c>
    </row>
    <row r="89" spans="2:23" ht="14.4" customHeight="1" x14ac:dyDescent="0.3">
      <c r="B89" t="s">
        <v>65</v>
      </c>
      <c r="F89" s="30">
        <v>1</v>
      </c>
      <c r="G89" s="30">
        <v>1</v>
      </c>
      <c r="H89" s="1" t="e">
        <f>H57*NAV!#REF!</f>
        <v>#REF!</v>
      </c>
      <c r="I89" s="1" t="e">
        <f>I57*NAV!#REF!</f>
        <v>#REF!</v>
      </c>
      <c r="J89" s="1" t="e">
        <f>J57*NAV!#REF!</f>
        <v>#REF!</v>
      </c>
      <c r="K89" s="1" t="e">
        <f>K57*NAV!#REF!</f>
        <v>#REF!</v>
      </c>
      <c r="L89" s="1" t="e">
        <f>L57*NAV!#REF!</f>
        <v>#REF!</v>
      </c>
      <c r="M89" s="1" t="e">
        <f>M57*NAV!#REF!</f>
        <v>#REF!</v>
      </c>
      <c r="R89" s="49"/>
      <c r="S89" s="49"/>
      <c r="T89" s="1">
        <f>T57*NAV!P$27</f>
        <v>12093840</v>
      </c>
      <c r="U89" s="1">
        <f>U57*NAV!Q$27</f>
        <v>11851963.199999999</v>
      </c>
      <c r="V89" s="1">
        <f>V57*NAV!R$27</f>
        <v>9481570.5599999987</v>
      </c>
      <c r="W89" s="1">
        <f>W57*NAV!S$27</f>
        <v>7585256.4480000008</v>
      </c>
    </row>
    <row r="90" spans="2:23" ht="14.4" customHeight="1" x14ac:dyDescent="0.3">
      <c r="B90" t="s">
        <v>66</v>
      </c>
      <c r="F90" s="30">
        <v>1</v>
      </c>
      <c r="G90" s="30">
        <v>1</v>
      </c>
      <c r="H90" s="1" t="e">
        <f>H58*NAV!#REF!</f>
        <v>#REF!</v>
      </c>
      <c r="I90" s="1" t="e">
        <f>I58*NAV!#REF!</f>
        <v>#REF!</v>
      </c>
      <c r="J90" s="1" t="e">
        <f>J58*NAV!#REF!</f>
        <v>#REF!</v>
      </c>
      <c r="K90" s="1" t="e">
        <f>K58*NAV!#REF!</f>
        <v>#REF!</v>
      </c>
      <c r="L90" s="1" t="e">
        <f>L58*NAV!#REF!</f>
        <v>#REF!</v>
      </c>
      <c r="M90" s="1" t="e">
        <f>M58*NAV!#REF!</f>
        <v>#REF!</v>
      </c>
      <c r="R90" s="49"/>
      <c r="S90" s="49"/>
      <c r="T90" s="1">
        <f>T58*NAV!P$27</f>
        <v>12093840</v>
      </c>
      <c r="U90" s="1">
        <f>U58*NAV!Q$27</f>
        <v>11851963.199999999</v>
      </c>
      <c r="V90" s="1">
        <f>V58*NAV!R$27</f>
        <v>9481570.5599999987</v>
      </c>
      <c r="W90" s="1">
        <f>W58*NAV!S$27</f>
        <v>7585256.4480000008</v>
      </c>
    </row>
    <row r="91" spans="2:23" ht="14.4" customHeight="1" x14ac:dyDescent="0.3">
      <c r="B91" t="s">
        <v>67</v>
      </c>
      <c r="F91" s="30">
        <v>1</v>
      </c>
      <c r="G91" s="30">
        <v>1</v>
      </c>
      <c r="H91" s="1" t="e">
        <f>H59*NAV!#REF!</f>
        <v>#REF!</v>
      </c>
      <c r="I91" s="1" t="e">
        <f>I59*NAV!#REF!</f>
        <v>#REF!</v>
      </c>
      <c r="J91" s="1" t="e">
        <f>J59*NAV!#REF!</f>
        <v>#REF!</v>
      </c>
      <c r="K91" s="1" t="e">
        <f>K59*NAV!#REF!</f>
        <v>#REF!</v>
      </c>
      <c r="L91" s="1" t="e">
        <f>L59*NAV!#REF!</f>
        <v>#REF!</v>
      </c>
      <c r="M91" s="1" t="e">
        <f>M59*NAV!#REF!</f>
        <v>#REF!</v>
      </c>
      <c r="R91" s="49"/>
      <c r="S91" s="49"/>
      <c r="T91" s="1">
        <f>T59*NAV!P$27</f>
        <v>12093840</v>
      </c>
      <c r="U91" s="1">
        <f>U59*NAV!Q$27</f>
        <v>11851963.199999999</v>
      </c>
      <c r="V91" s="1">
        <f>V59*NAV!R$27</f>
        <v>9481570.5599999987</v>
      </c>
      <c r="W91" s="1">
        <f>W59*NAV!S$27</f>
        <v>7585256.4480000008</v>
      </c>
    </row>
    <row r="92" spans="2:23" ht="14.4" customHeight="1" x14ac:dyDescent="0.3">
      <c r="B92" t="s">
        <v>68</v>
      </c>
      <c r="F92" s="30">
        <v>1</v>
      </c>
      <c r="G92" s="30">
        <v>1</v>
      </c>
      <c r="H92" s="1" t="e">
        <f>H60*NAV!#REF!</f>
        <v>#REF!</v>
      </c>
      <c r="I92" s="1" t="e">
        <f>I60*NAV!#REF!</f>
        <v>#REF!</v>
      </c>
      <c r="J92" s="1" t="e">
        <f>J60*NAV!#REF!</f>
        <v>#REF!</v>
      </c>
      <c r="K92" s="1" t="e">
        <f>K60*NAV!#REF!</f>
        <v>#REF!</v>
      </c>
      <c r="L92" s="1" t="e">
        <f>L60*NAV!#REF!</f>
        <v>#REF!</v>
      </c>
      <c r="M92" s="1" t="e">
        <f>M60*NAV!#REF!</f>
        <v>#REF!</v>
      </c>
      <c r="R92" s="49"/>
      <c r="S92" s="49"/>
      <c r="T92" s="1">
        <f>T60*NAV!P$27</f>
        <v>12093840</v>
      </c>
      <c r="U92" s="1">
        <f>U60*NAV!Q$27</f>
        <v>11851963.199999999</v>
      </c>
      <c r="V92" s="1">
        <f>V60*NAV!R$27</f>
        <v>9481570.5599999987</v>
      </c>
      <c r="W92" s="1">
        <f>W60*NAV!S$27</f>
        <v>7585256.4480000008</v>
      </c>
    </row>
    <row r="93" spans="2:23" ht="14.4" customHeight="1" x14ac:dyDescent="0.3">
      <c r="B93" t="s">
        <v>69</v>
      </c>
      <c r="F93" s="30">
        <v>1</v>
      </c>
      <c r="G93" s="30">
        <v>1</v>
      </c>
      <c r="H93" s="1" t="e">
        <f>H61*NAV!#REF!</f>
        <v>#REF!</v>
      </c>
      <c r="I93" s="1" t="e">
        <f>I61*NAV!#REF!</f>
        <v>#REF!</v>
      </c>
      <c r="J93" s="1" t="e">
        <f>J61*NAV!#REF!</f>
        <v>#REF!</v>
      </c>
      <c r="K93" s="1" t="e">
        <f>K61*NAV!#REF!</f>
        <v>#REF!</v>
      </c>
      <c r="L93" s="1" t="e">
        <f>L61*NAV!#REF!</f>
        <v>#REF!</v>
      </c>
      <c r="M93" s="1" t="e">
        <f>M61*NAV!#REF!</f>
        <v>#REF!</v>
      </c>
      <c r="R93" s="49"/>
      <c r="S93" s="49"/>
      <c r="T93" s="1">
        <f>T61*NAV!P$27</f>
        <v>12093840</v>
      </c>
      <c r="U93" s="1">
        <f>U61*NAV!Q$27</f>
        <v>11851963.199999999</v>
      </c>
      <c r="V93" s="1">
        <f>V61*NAV!R$27</f>
        <v>9481570.5599999987</v>
      </c>
      <c r="W93" s="1">
        <f>W61*NAV!S$27</f>
        <v>7585256.4480000008</v>
      </c>
    </row>
    <row r="94" spans="2:23" ht="14.4" customHeight="1" x14ac:dyDescent="0.3">
      <c r="B94" t="s">
        <v>70</v>
      </c>
      <c r="F94" s="30">
        <v>1</v>
      </c>
      <c r="G94" s="30">
        <v>1</v>
      </c>
      <c r="H94" s="1" t="e">
        <f>H62*NAV!#REF!</f>
        <v>#REF!</v>
      </c>
      <c r="I94" s="1" t="e">
        <f>I62*NAV!#REF!</f>
        <v>#REF!</v>
      </c>
      <c r="J94" s="1" t="e">
        <f>J62*NAV!#REF!</f>
        <v>#REF!</v>
      </c>
      <c r="K94" s="1" t="e">
        <f>K62*NAV!#REF!</f>
        <v>#REF!</v>
      </c>
      <c r="L94" s="1" t="e">
        <f>L62*NAV!#REF!</f>
        <v>#REF!</v>
      </c>
      <c r="M94" s="1" t="e">
        <f>M62*NAV!#REF!</f>
        <v>#REF!</v>
      </c>
      <c r="R94" s="49"/>
      <c r="S94" s="49"/>
      <c r="T94" s="1">
        <f>T62*NAV!P$27</f>
        <v>12093840</v>
      </c>
      <c r="U94" s="1">
        <f>U62*NAV!Q$27</f>
        <v>11851963.199999999</v>
      </c>
      <c r="V94" s="1">
        <f>V62*NAV!R$27</f>
        <v>9481570.5599999987</v>
      </c>
      <c r="W94" s="1">
        <f>W62*NAV!S$27</f>
        <v>7585256.4480000008</v>
      </c>
    </row>
    <row r="95" spans="2:23" ht="14.4" customHeight="1" x14ac:dyDescent="0.3">
      <c r="B95" t="s">
        <v>71</v>
      </c>
      <c r="F95" s="30">
        <v>1</v>
      </c>
      <c r="G95" s="30">
        <v>1</v>
      </c>
      <c r="H95" s="1" t="e">
        <f>H63*NAV!#REF!</f>
        <v>#REF!</v>
      </c>
      <c r="I95" s="1" t="e">
        <f>I63*NAV!#REF!</f>
        <v>#REF!</v>
      </c>
      <c r="J95" s="1" t="e">
        <f>J63*NAV!#REF!</f>
        <v>#REF!</v>
      </c>
      <c r="K95" s="1" t="e">
        <f>K63*NAV!#REF!</f>
        <v>#REF!</v>
      </c>
      <c r="L95" s="1" t="e">
        <f>L63*NAV!#REF!</f>
        <v>#REF!</v>
      </c>
      <c r="M95" s="1" t="e">
        <f>M63*NAV!#REF!</f>
        <v>#REF!</v>
      </c>
      <c r="R95" s="49"/>
      <c r="S95" s="49"/>
      <c r="T95" s="1">
        <f>T63*NAV!P$27</f>
        <v>12093840</v>
      </c>
      <c r="U95" s="1">
        <f>U63*NAV!Q$27</f>
        <v>11851963.199999999</v>
      </c>
      <c r="V95" s="1">
        <f>V63*NAV!R$27</f>
        <v>9481570.5599999987</v>
      </c>
      <c r="W95" s="1">
        <f>W63*NAV!S$27</f>
        <v>7585256.4480000008</v>
      </c>
    </row>
    <row r="96" spans="2:23" ht="14.4" customHeight="1" x14ac:dyDescent="0.3">
      <c r="B96" s="69" t="s">
        <v>72</v>
      </c>
      <c r="F96" s="30">
        <v>1</v>
      </c>
      <c r="G96" s="30">
        <v>1</v>
      </c>
      <c r="H96" s="1" t="e">
        <f>H64*NAV!#REF!</f>
        <v>#REF!</v>
      </c>
      <c r="I96" s="1" t="e">
        <f>I64*NAV!#REF!</f>
        <v>#REF!</v>
      </c>
      <c r="J96" s="1" t="e">
        <f>J64*NAV!#REF!</f>
        <v>#REF!</v>
      </c>
      <c r="K96" s="1" t="e">
        <f>K64*NAV!#REF!</f>
        <v>#REF!</v>
      </c>
      <c r="L96" s="1" t="e">
        <f>L64*NAV!#REF!</f>
        <v>#REF!</v>
      </c>
      <c r="M96" s="1" t="e">
        <f>M64*NAV!#REF!</f>
        <v>#REF!</v>
      </c>
      <c r="R96" s="49"/>
      <c r="S96" s="49"/>
      <c r="T96" s="1">
        <f>T64*NAV!P$27</f>
        <v>0</v>
      </c>
      <c r="U96" s="1">
        <f>U64*NAV!Q$27</f>
        <v>0</v>
      </c>
      <c r="V96" s="1">
        <f>V64*NAV!R$27</f>
        <v>0</v>
      </c>
      <c r="W96" s="1">
        <f>W64*NAV!S$27</f>
        <v>0</v>
      </c>
    </row>
    <row r="97" spans="2:23" ht="14.4" customHeight="1" x14ac:dyDescent="0.3">
      <c r="B97" s="69" t="s">
        <v>73</v>
      </c>
      <c r="F97" s="30">
        <v>1</v>
      </c>
      <c r="G97" s="30">
        <v>1</v>
      </c>
      <c r="H97" s="1" t="e">
        <f>H65*NAV!#REF!</f>
        <v>#REF!</v>
      </c>
      <c r="I97" s="1" t="e">
        <f>I65*NAV!#REF!</f>
        <v>#REF!</v>
      </c>
      <c r="J97" s="1" t="e">
        <f>J65*NAV!#REF!</f>
        <v>#REF!</v>
      </c>
      <c r="K97" s="1" t="e">
        <f>K65*NAV!#REF!</f>
        <v>#REF!</v>
      </c>
      <c r="L97" s="1" t="e">
        <f>L65*NAV!#REF!</f>
        <v>#REF!</v>
      </c>
      <c r="M97" s="1" t="e">
        <f>M65*NAV!#REF!</f>
        <v>#REF!</v>
      </c>
      <c r="R97" s="49"/>
      <c r="S97" s="49"/>
      <c r="T97" s="1">
        <f>T65*NAV!P$27</f>
        <v>0</v>
      </c>
      <c r="U97" s="1">
        <f>U65*NAV!Q$27</f>
        <v>0</v>
      </c>
      <c r="V97" s="1">
        <f>V65*NAV!R$27</f>
        <v>0</v>
      </c>
      <c r="W97" s="1">
        <f>W65*NAV!S$27</f>
        <v>0</v>
      </c>
    </row>
    <row r="98" spans="2:23" ht="14.4" customHeight="1" x14ac:dyDescent="0.3">
      <c r="B98" t="s">
        <v>74</v>
      </c>
      <c r="F98" s="30">
        <v>1</v>
      </c>
      <c r="G98" s="30">
        <v>1</v>
      </c>
      <c r="H98" s="1" t="e">
        <f>H66*NAV!#REF!</f>
        <v>#REF!</v>
      </c>
      <c r="I98" s="1" t="e">
        <f>I66*NAV!#REF!</f>
        <v>#REF!</v>
      </c>
      <c r="J98" s="1" t="e">
        <f>J66*NAV!#REF!</f>
        <v>#REF!</v>
      </c>
      <c r="K98" s="1" t="e">
        <f>K66*NAV!#REF!</f>
        <v>#REF!</v>
      </c>
      <c r="L98" s="1" t="e">
        <f>L66*NAV!#REF!</f>
        <v>#REF!</v>
      </c>
      <c r="M98" s="1" t="e">
        <f>M66*NAV!#REF!</f>
        <v>#REF!</v>
      </c>
      <c r="R98" s="49"/>
      <c r="S98" s="49"/>
      <c r="T98" s="1">
        <f>T66*NAV!P$27</f>
        <v>12093840</v>
      </c>
      <c r="U98" s="1">
        <f>U66*NAV!Q$27</f>
        <v>11851963.199999999</v>
      </c>
      <c r="V98" s="1">
        <f>V66*NAV!R$27</f>
        <v>9481570.5599999987</v>
      </c>
      <c r="W98" s="1">
        <f>W66*NAV!S$27</f>
        <v>7585256.4480000008</v>
      </c>
    </row>
    <row r="99" spans="2:23" ht="14.4" customHeight="1" x14ac:dyDescent="0.3">
      <c r="B99" t="s">
        <v>75</v>
      </c>
      <c r="F99" s="30">
        <v>1</v>
      </c>
      <c r="G99" s="30">
        <v>1</v>
      </c>
      <c r="H99" s="1" t="e">
        <f>H67*NAV!#REF!</f>
        <v>#REF!</v>
      </c>
      <c r="I99" s="1" t="e">
        <f>I67*NAV!#REF!</f>
        <v>#REF!</v>
      </c>
      <c r="J99" s="1" t="e">
        <f>J67*NAV!#REF!</f>
        <v>#REF!</v>
      </c>
      <c r="K99" s="1" t="e">
        <f>K67*NAV!#REF!</f>
        <v>#REF!</v>
      </c>
      <c r="L99" s="1" t="e">
        <f>L67*NAV!#REF!</f>
        <v>#REF!</v>
      </c>
      <c r="M99" s="1" t="e">
        <f>M67*NAV!#REF!</f>
        <v>#REF!</v>
      </c>
      <c r="R99" s="49"/>
      <c r="S99" s="49"/>
      <c r="T99" s="1">
        <f>T67*NAV!P$27</f>
        <v>12093840</v>
      </c>
      <c r="U99" s="1">
        <f>U67*NAV!Q$27</f>
        <v>11851963.199999999</v>
      </c>
      <c r="V99" s="1">
        <f>V67*NAV!R$27</f>
        <v>9481570.5599999987</v>
      </c>
      <c r="W99" s="1">
        <f>W67*NAV!S$27</f>
        <v>7585256.4480000008</v>
      </c>
    </row>
    <row r="100" spans="2:23" ht="14.4" customHeight="1" x14ac:dyDescent="0.3">
      <c r="B100" s="69" t="s">
        <v>76</v>
      </c>
      <c r="F100" s="30">
        <v>1</v>
      </c>
      <c r="G100" s="30"/>
      <c r="H100" s="1" t="e">
        <f>H68*NAV!#REF!</f>
        <v>#REF!</v>
      </c>
      <c r="I100" s="1" t="e">
        <f>I68*NAV!#REF!</f>
        <v>#REF!</v>
      </c>
      <c r="J100" s="1" t="e">
        <f>J68*NAV!#REF!</f>
        <v>#REF!</v>
      </c>
      <c r="K100" s="1" t="e">
        <f>K68*NAV!#REF!</f>
        <v>#REF!</v>
      </c>
      <c r="L100" s="1" t="e">
        <f>L68*NAV!#REF!</f>
        <v>#REF!</v>
      </c>
      <c r="M100" s="1" t="e">
        <f>M68*NAV!#REF!</f>
        <v>#REF!</v>
      </c>
      <c r="R100" s="49"/>
      <c r="S100" s="49"/>
      <c r="T100" s="1">
        <f>T68*NAV!P$27</f>
        <v>0</v>
      </c>
      <c r="U100" s="1">
        <f>U68*NAV!Q$27</f>
        <v>0</v>
      </c>
      <c r="V100" s="1">
        <f>V68*NAV!R$27</f>
        <v>0</v>
      </c>
      <c r="W100" s="1">
        <f>W68*NAV!S$27</f>
        <v>0</v>
      </c>
    </row>
    <row r="101" spans="2:23" ht="14.4" customHeight="1" x14ac:dyDescent="0.3">
      <c r="B101" s="69" t="s">
        <v>77</v>
      </c>
      <c r="F101" s="30">
        <v>1</v>
      </c>
      <c r="G101" s="30"/>
      <c r="H101" s="1" t="e">
        <f>H69*NAV!#REF!</f>
        <v>#REF!</v>
      </c>
      <c r="I101" s="1" t="e">
        <f>I69*NAV!#REF!</f>
        <v>#REF!</v>
      </c>
      <c r="J101" s="1" t="e">
        <f>J69*NAV!#REF!</f>
        <v>#REF!</v>
      </c>
      <c r="K101" s="1" t="e">
        <f>K69*NAV!#REF!</f>
        <v>#REF!</v>
      </c>
      <c r="L101" s="1" t="e">
        <f>L69*NAV!#REF!</f>
        <v>#REF!</v>
      </c>
      <c r="M101" s="1" t="e">
        <f>M69*NAV!#REF!</f>
        <v>#REF!</v>
      </c>
      <c r="R101" s="49"/>
      <c r="S101" s="49"/>
      <c r="T101" s="1">
        <f>T69*NAV!P$27</f>
        <v>0</v>
      </c>
      <c r="U101" s="1">
        <f>U69*NAV!Q$27</f>
        <v>0</v>
      </c>
      <c r="V101" s="1">
        <f>V69*NAV!R$27</f>
        <v>0</v>
      </c>
      <c r="W101" s="1">
        <f>W69*NAV!S$27</f>
        <v>0</v>
      </c>
    </row>
    <row r="102" spans="2:23" ht="14.4" customHeight="1" x14ac:dyDescent="0.3">
      <c r="B102" s="69" t="s">
        <v>78</v>
      </c>
      <c r="F102" s="30">
        <v>1</v>
      </c>
      <c r="G102" s="30"/>
      <c r="H102" s="1" t="e">
        <f>H70*NAV!#REF!</f>
        <v>#REF!</v>
      </c>
      <c r="I102" s="1" t="e">
        <f>I70*NAV!#REF!</f>
        <v>#REF!</v>
      </c>
      <c r="J102" s="1" t="e">
        <f>J70*NAV!#REF!</f>
        <v>#REF!</v>
      </c>
      <c r="K102" s="1" t="e">
        <f>K70*NAV!#REF!</f>
        <v>#REF!</v>
      </c>
      <c r="L102" s="1" t="e">
        <f>L70*NAV!#REF!</f>
        <v>#REF!</v>
      </c>
      <c r="M102" s="1" t="e">
        <f>M70*NAV!#REF!</f>
        <v>#REF!</v>
      </c>
      <c r="R102" s="49"/>
      <c r="S102" s="49"/>
      <c r="T102" s="1">
        <f>T70*NAV!P$27</f>
        <v>0</v>
      </c>
      <c r="U102" s="1">
        <f>U70*NAV!Q$27</f>
        <v>0</v>
      </c>
      <c r="V102" s="1">
        <f>V70*NAV!R$27</f>
        <v>0</v>
      </c>
      <c r="W102" s="1">
        <f>W70*NAV!S$27</f>
        <v>0</v>
      </c>
    </row>
    <row r="103" spans="2:23" ht="14.4" customHeight="1" x14ac:dyDescent="0.3">
      <c r="B103" s="69" t="s">
        <v>79</v>
      </c>
      <c r="F103" s="30">
        <v>1</v>
      </c>
      <c r="G103" s="30"/>
      <c r="H103" s="1" t="e">
        <f>H71*NAV!#REF!</f>
        <v>#REF!</v>
      </c>
      <c r="I103" s="1" t="e">
        <f>I71*NAV!#REF!</f>
        <v>#REF!</v>
      </c>
      <c r="J103" s="1" t="e">
        <f>J71*NAV!#REF!</f>
        <v>#REF!</v>
      </c>
      <c r="K103" s="1" t="e">
        <f>K71*NAV!#REF!</f>
        <v>#REF!</v>
      </c>
      <c r="L103" s="1" t="e">
        <f>L71*NAV!#REF!</f>
        <v>#REF!</v>
      </c>
      <c r="M103" s="1" t="e">
        <f>M71*NAV!#REF!</f>
        <v>#REF!</v>
      </c>
      <c r="R103" s="49"/>
      <c r="S103" s="49"/>
      <c r="T103" s="1">
        <f>T71*NAV!P$27</f>
        <v>0</v>
      </c>
      <c r="U103" s="1">
        <f>U71*NAV!Q$27</f>
        <v>0</v>
      </c>
      <c r="V103" s="1">
        <f>V71*NAV!R$27</f>
        <v>0</v>
      </c>
      <c r="W103" s="1">
        <f>W71*NAV!S$27</f>
        <v>0</v>
      </c>
    </row>
    <row r="104" spans="2:23" ht="14.4" customHeight="1" x14ac:dyDescent="0.3">
      <c r="B104" t="s">
        <v>83</v>
      </c>
      <c r="F104" s="30">
        <v>1</v>
      </c>
      <c r="G104" s="30">
        <v>1</v>
      </c>
      <c r="H104" s="1" t="e">
        <f>H72*NAV!#REF!</f>
        <v>#REF!</v>
      </c>
      <c r="I104" s="1" t="e">
        <f>I72*NAV!#REF!</f>
        <v>#REF!</v>
      </c>
      <c r="J104" s="1" t="e">
        <f>J72*NAV!#REF!</f>
        <v>#REF!</v>
      </c>
      <c r="K104" s="1" t="e">
        <f>K72*NAV!#REF!</f>
        <v>#REF!</v>
      </c>
      <c r="L104" s="1" t="e">
        <f>L72*NAV!#REF!</f>
        <v>#REF!</v>
      </c>
      <c r="M104" s="1" t="e">
        <f>M72*NAV!#REF!</f>
        <v>#REF!</v>
      </c>
      <c r="R104" s="49"/>
      <c r="S104" s="49"/>
      <c r="T104" s="1">
        <f>T72*NAV!P$27</f>
        <v>12093840</v>
      </c>
      <c r="U104" s="1">
        <f>U72*NAV!Q$27</f>
        <v>11851963.199999999</v>
      </c>
      <c r="V104" s="1">
        <f>V72*NAV!R$27</f>
        <v>9481570.5599999987</v>
      </c>
      <c r="W104" s="1">
        <f>W72*NAV!S$27</f>
        <v>7585256.4480000008</v>
      </c>
    </row>
    <row r="105" spans="2:23" ht="14.4" customHeight="1" x14ac:dyDescent="0.3">
      <c r="B105" t="s">
        <v>210</v>
      </c>
      <c r="F105" s="30"/>
      <c r="G105" s="30"/>
      <c r="H105" s="1" t="e">
        <f>H73*NAV!#REF!</f>
        <v>#REF!</v>
      </c>
      <c r="I105" s="1" t="e">
        <f>I73*NAV!#REF!</f>
        <v>#REF!</v>
      </c>
      <c r="J105" s="1" t="e">
        <f>J73*NAV!#REF!</f>
        <v>#REF!</v>
      </c>
      <c r="K105" s="1" t="e">
        <f>K73*NAV!#REF!</f>
        <v>#REF!</v>
      </c>
      <c r="L105" s="1" t="e">
        <f>L73*NAV!#REF!</f>
        <v>#REF!</v>
      </c>
      <c r="M105" s="1" t="e">
        <f>M73*NAV!#REF!</f>
        <v>#REF!</v>
      </c>
      <c r="R105" s="49"/>
      <c r="S105" s="49"/>
      <c r="T105" s="1">
        <f>T73*NAV!P$27</f>
        <v>12093840</v>
      </c>
      <c r="U105" s="1">
        <f>U73*NAV!Q$27</f>
        <v>11851963.199999999</v>
      </c>
      <c r="V105" s="1">
        <f>V73*NAV!R$27</f>
        <v>9481570.5599999987</v>
      </c>
      <c r="W105" s="1">
        <f>W73*NAV!S$27</f>
        <v>7585256.4480000008</v>
      </c>
    </row>
    <row r="106" spans="2:23" ht="14.4" customHeight="1" x14ac:dyDescent="0.3">
      <c r="B106" s="29" t="s">
        <v>211</v>
      </c>
      <c r="F106" s="30"/>
      <c r="G106" s="30"/>
      <c r="H106" s="1" t="e">
        <f>H74*NAV!#REF!</f>
        <v>#REF!</v>
      </c>
      <c r="I106" s="1" t="e">
        <f>I74*NAV!#REF!</f>
        <v>#REF!</v>
      </c>
      <c r="J106" s="1" t="e">
        <f>J74*NAV!#REF!</f>
        <v>#REF!</v>
      </c>
      <c r="K106" s="1" t="e">
        <f>K74*NAV!#REF!</f>
        <v>#REF!</v>
      </c>
      <c r="L106" s="1" t="e">
        <f>L74*NAV!#REF!</f>
        <v>#REF!</v>
      </c>
      <c r="M106" s="1" t="e">
        <f>M74*NAV!#REF!</f>
        <v>#REF!</v>
      </c>
      <c r="R106" s="49"/>
      <c r="S106" s="49"/>
      <c r="T106" s="1">
        <f>T74*NAV!P$27</f>
        <v>12093840</v>
      </c>
      <c r="U106" s="1">
        <f>U74*NAV!Q$27</f>
        <v>11851963.199999999</v>
      </c>
      <c r="V106" s="1">
        <f>V74*NAV!R$27</f>
        <v>9481570.5599999987</v>
      </c>
      <c r="W106" s="1">
        <f>W74*NAV!S$27</f>
        <v>7585256.4480000008</v>
      </c>
    </row>
    <row r="107" spans="2:23" ht="14.4" customHeight="1" x14ac:dyDescent="0.3">
      <c r="B107" s="29" t="s">
        <v>212</v>
      </c>
      <c r="F107" s="30"/>
      <c r="G107" s="30"/>
      <c r="H107" s="1" t="e">
        <f>H75*NAV!#REF!</f>
        <v>#REF!</v>
      </c>
      <c r="I107" s="1" t="e">
        <f>I75*NAV!#REF!</f>
        <v>#REF!</v>
      </c>
      <c r="J107" s="1" t="e">
        <f>J75*NAV!#REF!</f>
        <v>#REF!</v>
      </c>
      <c r="K107" s="1" t="e">
        <f>K75*NAV!#REF!</f>
        <v>#REF!</v>
      </c>
      <c r="L107" s="1" t="e">
        <f>L75*NAV!#REF!</f>
        <v>#REF!</v>
      </c>
      <c r="M107" s="1" t="e">
        <f>M75*NAV!#REF!</f>
        <v>#REF!</v>
      </c>
      <c r="R107" s="49"/>
      <c r="S107" s="49"/>
      <c r="T107" s="1">
        <f>T75*NAV!P$27</f>
        <v>12093840</v>
      </c>
      <c r="U107" s="1">
        <f>U75*NAV!Q$27</f>
        <v>11851963.199999999</v>
      </c>
      <c r="V107" s="1">
        <f>V75*NAV!R$27</f>
        <v>9481570.5599999987</v>
      </c>
      <c r="W107" s="1">
        <f>W75*NAV!S$27</f>
        <v>7585256.4480000008</v>
      </c>
    </row>
    <row r="108" spans="2:23" ht="14.4" customHeight="1" x14ac:dyDescent="0.3">
      <c r="B108" s="29" t="s">
        <v>213</v>
      </c>
      <c r="F108" s="30"/>
      <c r="G108" s="30"/>
      <c r="H108" s="1" t="e">
        <f>H76*NAV!#REF!</f>
        <v>#REF!</v>
      </c>
      <c r="I108" s="1" t="e">
        <f>I76*NAV!#REF!</f>
        <v>#REF!</v>
      </c>
      <c r="J108" s="1" t="e">
        <f>J76*NAV!#REF!</f>
        <v>#REF!</v>
      </c>
      <c r="K108" s="1" t="e">
        <f>K76*NAV!#REF!</f>
        <v>#REF!</v>
      </c>
      <c r="L108" s="1" t="e">
        <f>L76*NAV!#REF!</f>
        <v>#REF!</v>
      </c>
      <c r="M108" s="1" t="e">
        <f>M76*NAV!#REF!</f>
        <v>#REF!</v>
      </c>
      <c r="R108" s="49"/>
      <c r="S108" s="49"/>
      <c r="T108" s="1">
        <f>T76*NAV!P$27</f>
        <v>8245800</v>
      </c>
      <c r="U108" s="1">
        <f>U76*NAV!Q$27</f>
        <v>11851963.199999999</v>
      </c>
      <c r="V108" s="1">
        <f>V76*NAV!R$27</f>
        <v>9481570.5599999987</v>
      </c>
      <c r="W108" s="1">
        <f>W76*NAV!S$27</f>
        <v>7585256.4480000008</v>
      </c>
    </row>
    <row r="109" spans="2:23" ht="14.4" customHeight="1" x14ac:dyDescent="0.3">
      <c r="B109" s="164" t="s">
        <v>214</v>
      </c>
      <c r="F109" s="30"/>
      <c r="G109" s="30"/>
      <c r="H109" s="1" t="e">
        <f>H77*NAV!#REF!</f>
        <v>#REF!</v>
      </c>
      <c r="I109" s="1" t="e">
        <f>I77*NAV!#REF!</f>
        <v>#REF!</v>
      </c>
      <c r="J109" s="1" t="e">
        <f>J77*NAV!#REF!</f>
        <v>#REF!</v>
      </c>
      <c r="K109" s="1" t="e">
        <f>K77*NAV!#REF!</f>
        <v>#REF!</v>
      </c>
      <c r="L109" s="1" t="e">
        <f>L77*NAV!#REF!</f>
        <v>#REF!</v>
      </c>
      <c r="M109" s="1" t="e">
        <f>M77*NAV!#REF!</f>
        <v>#REF!</v>
      </c>
      <c r="R109" s="49"/>
      <c r="S109" s="49"/>
      <c r="T109" s="1">
        <f>T77*NAV!P$27</f>
        <v>8245800</v>
      </c>
      <c r="U109" s="1">
        <f>U77*NAV!Q$27</f>
        <v>11851963.199999999</v>
      </c>
      <c r="V109" s="1">
        <f>V77*NAV!R$27</f>
        <v>9481570.5599999987</v>
      </c>
      <c r="W109" s="1">
        <f>W77*NAV!S$27</f>
        <v>7585256.4480000008</v>
      </c>
    </row>
  </sheetData>
  <pageMargins left="0.7" right="0.7" top="0.75" bottom="0.75" header="0.3" footer="0.3"/>
  <pageSetup paperSize="9" orientation="portrait" horizontalDpi="0" verticalDpi="0" r:id="rId1"/>
  <ignoredErrors>
    <ignoredError sqref="D4 E2:E5 E33 E13:E31 E7:E11" formulaRange="1"/>
    <ignoredError sqref="E32" formula="1" formulaRange="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JO61"/>
  <sheetViews>
    <sheetView showGridLines="0" zoomScale="85" zoomScaleNormal="85" workbookViewId="0">
      <pane xSplit="2" ySplit="1" topLeftCell="N11" activePane="bottomRight" state="frozen"/>
      <selection pane="topRight" activeCell="C1" sqref="C1"/>
      <selection pane="bottomLeft" activeCell="A2" sqref="A2"/>
      <selection pane="bottomRight" activeCell="W32" sqref="W32"/>
    </sheetView>
  </sheetViews>
  <sheetFormatPr baseColWidth="10" defaultColWidth="12" defaultRowHeight="14.4" customHeight="1" outlineLevelCol="1" x14ac:dyDescent="0.3"/>
  <cols>
    <col min="1" max="1" width="1.88671875" style="34" bestFit="1" customWidth="1"/>
    <col min="2" max="2" width="40.21875" style="1" bestFit="1" customWidth="1"/>
    <col min="3" max="12" width="12.77734375" style="1" hidden="1" customWidth="1" outlineLevel="1"/>
    <col min="13" max="13" width="12.77734375" style="1" customWidth="1" collapsed="1"/>
    <col min="14" max="22" width="12.77734375" style="1" customWidth="1"/>
    <col min="23" max="16384" width="12" style="1"/>
  </cols>
  <sheetData>
    <row r="1" spans="1:275" customFormat="1" ht="14.4" customHeight="1" x14ac:dyDescent="0.3">
      <c r="A1" s="30"/>
      <c r="B1" s="7" t="s">
        <v>148</v>
      </c>
      <c r="C1" s="8">
        <f>D1-1</f>
        <v>2021</v>
      </c>
      <c r="D1" s="8">
        <v>2022</v>
      </c>
      <c r="E1" s="8" t="s">
        <v>12</v>
      </c>
      <c r="F1" s="8" t="s">
        <v>13</v>
      </c>
      <c r="G1" s="8" t="s">
        <v>11</v>
      </c>
      <c r="H1" s="8" t="s">
        <v>14</v>
      </c>
      <c r="I1" s="8" t="s">
        <v>48</v>
      </c>
      <c r="J1" s="8" t="s">
        <v>49</v>
      </c>
      <c r="K1" s="8" t="s">
        <v>50</v>
      </c>
      <c r="L1" s="8" t="s">
        <v>28</v>
      </c>
      <c r="M1" s="8" t="s">
        <v>157</v>
      </c>
      <c r="N1" s="8" t="s">
        <v>158</v>
      </c>
      <c r="O1" s="8" t="s">
        <v>159</v>
      </c>
      <c r="P1" s="8" t="s">
        <v>160</v>
      </c>
      <c r="Q1" s="8" t="s">
        <v>169</v>
      </c>
      <c r="R1" s="8" t="s">
        <v>170</v>
      </c>
      <c r="S1" s="2" t="s">
        <v>171</v>
      </c>
      <c r="T1" s="2" t="s">
        <v>172</v>
      </c>
      <c r="U1" s="2" t="s">
        <v>241</v>
      </c>
      <c r="V1" s="2" t="s">
        <v>300</v>
      </c>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row>
    <row r="2" spans="1:275" ht="14.4" customHeight="1" x14ac:dyDescent="0.3">
      <c r="B2" s="5" t="s">
        <v>15</v>
      </c>
      <c r="C2" s="5">
        <f>SUM(C3:C9)</f>
        <v>131972</v>
      </c>
      <c r="D2" s="5">
        <f>SUM(D3:D9)</f>
        <v>235590</v>
      </c>
      <c r="E2" s="5">
        <f t="shared" ref="E2:U2" si="0">SUM(E3:E9)</f>
        <v>213214</v>
      </c>
      <c r="F2" s="5">
        <f t="shared" si="0"/>
        <v>234317</v>
      </c>
      <c r="G2" s="5">
        <f t="shared" si="0"/>
        <v>179227</v>
      </c>
      <c r="H2" s="5">
        <f t="shared" si="0"/>
        <v>200498</v>
      </c>
      <c r="I2" s="5">
        <f t="shared" si="0"/>
        <v>203397</v>
      </c>
      <c r="J2" s="5">
        <f t="shared" si="0"/>
        <v>195748</v>
      </c>
      <c r="K2" s="5">
        <f t="shared" si="0"/>
        <v>181528</v>
      </c>
      <c r="L2" s="5">
        <f t="shared" si="0"/>
        <v>201889</v>
      </c>
      <c r="M2" s="5">
        <f t="shared" si="0"/>
        <v>172035</v>
      </c>
      <c r="N2" s="5">
        <f t="shared" si="0"/>
        <v>193704</v>
      </c>
      <c r="O2" s="5">
        <f t="shared" si="0"/>
        <v>146592</v>
      </c>
      <c r="P2" s="5">
        <f t="shared" si="0"/>
        <v>208914</v>
      </c>
      <c r="Q2" s="5">
        <f t="shared" si="0"/>
        <v>267109</v>
      </c>
      <c r="R2" s="5">
        <f t="shared" si="0"/>
        <v>302727</v>
      </c>
      <c r="S2" s="5">
        <f t="shared" si="0"/>
        <v>386772.96713999996</v>
      </c>
      <c r="T2" s="5">
        <f t="shared" si="0"/>
        <v>405545.53526583267</v>
      </c>
      <c r="U2" s="5">
        <f t="shared" si="0"/>
        <v>367668.64355080563</v>
      </c>
      <c r="V2" s="5">
        <f t="shared" ref="V2" si="1">SUM(V3:V9)</f>
        <v>340632.05264390283</v>
      </c>
    </row>
    <row r="3" spans="1:275" ht="14.4" customHeight="1" x14ac:dyDescent="0.3">
      <c r="B3" s="40" t="s">
        <v>39</v>
      </c>
      <c r="C3" s="22">
        <v>60658</v>
      </c>
      <c r="D3" s="22">
        <v>125948</v>
      </c>
      <c r="E3" s="22">
        <v>117549</v>
      </c>
      <c r="F3" s="22">
        <v>130649</v>
      </c>
      <c r="G3" s="22">
        <v>73920</v>
      </c>
      <c r="H3" s="22">
        <v>74738</v>
      </c>
      <c r="I3" s="22">
        <v>73076</v>
      </c>
      <c r="J3" s="22">
        <v>72642</v>
      </c>
      <c r="K3" s="22">
        <v>73829</v>
      </c>
      <c r="L3" s="22">
        <v>78143</v>
      </c>
      <c r="M3" s="22">
        <v>80510</v>
      </c>
      <c r="N3" s="22">
        <v>82660</v>
      </c>
      <c r="O3" s="22">
        <v>81250</v>
      </c>
      <c r="P3" s="22">
        <v>79034</v>
      </c>
      <c r="Q3" s="22">
        <v>126246</v>
      </c>
      <c r="R3" s="22">
        <v>161683</v>
      </c>
      <c r="S3" s="22">
        <f>CashFlow!T59</f>
        <v>245728.96713999999</v>
      </c>
      <c r="T3" s="22">
        <f>CashFlow!U59</f>
        <v>264501.53526583267</v>
      </c>
      <c r="U3" s="22">
        <f>CashFlow!V59</f>
        <v>226624.64355080566</v>
      </c>
      <c r="V3" s="22">
        <f>CashFlow!W59</f>
        <v>199588.05264390283</v>
      </c>
    </row>
    <row r="4" spans="1:275" ht="14.4" customHeight="1" x14ac:dyDescent="0.3">
      <c r="B4" s="40" t="s">
        <v>105</v>
      </c>
      <c r="C4" s="22">
        <v>30361</v>
      </c>
      <c r="D4" s="22">
        <v>59465</v>
      </c>
      <c r="E4" s="22">
        <v>55010</v>
      </c>
      <c r="F4" s="22">
        <v>56831</v>
      </c>
      <c r="G4" s="22">
        <v>55684</v>
      </c>
      <c r="H4" s="49">
        <v>75848</v>
      </c>
      <c r="I4" s="49">
        <v>80561</v>
      </c>
      <c r="J4" s="49">
        <v>70355</v>
      </c>
      <c r="K4" s="49">
        <v>58553</v>
      </c>
      <c r="L4" s="49">
        <v>53715</v>
      </c>
      <c r="M4" s="49">
        <v>50520</v>
      </c>
      <c r="N4" s="49">
        <v>40047</v>
      </c>
      <c r="O4" s="49">
        <v>33953</v>
      </c>
      <c r="P4" s="49">
        <v>53338</v>
      </c>
      <c r="Q4" s="49">
        <v>85288</v>
      </c>
      <c r="R4" s="49">
        <v>87059</v>
      </c>
      <c r="S4" s="101">
        <v>87059</v>
      </c>
      <c r="T4" s="101">
        <v>87059</v>
      </c>
      <c r="U4" s="101">
        <v>87059</v>
      </c>
      <c r="V4" s="101">
        <v>87059</v>
      </c>
    </row>
    <row r="5" spans="1:275" ht="14.4" customHeight="1" x14ac:dyDescent="0.3">
      <c r="B5" s="40" t="s">
        <v>106</v>
      </c>
      <c r="C5" s="22">
        <v>1395</v>
      </c>
      <c r="D5" s="22">
        <v>2799</v>
      </c>
      <c r="E5" s="22">
        <v>3487</v>
      </c>
      <c r="F5" s="22">
        <v>2192</v>
      </c>
      <c r="G5" s="22">
        <v>2817</v>
      </c>
      <c r="H5" s="49">
        <v>2549</v>
      </c>
      <c r="I5" s="49">
        <v>4679</v>
      </c>
      <c r="J5" s="49">
        <v>6051</v>
      </c>
      <c r="K5" s="49">
        <v>2848</v>
      </c>
      <c r="L5" s="49">
        <v>2450</v>
      </c>
      <c r="M5" s="49">
        <v>2645</v>
      </c>
      <c r="N5" s="49">
        <v>1568</v>
      </c>
      <c r="O5" s="49">
        <v>1465</v>
      </c>
      <c r="P5" s="49">
        <v>1684</v>
      </c>
      <c r="Q5" s="49">
        <v>1701</v>
      </c>
      <c r="R5" s="49">
        <v>2826</v>
      </c>
      <c r="S5" s="101">
        <v>2826</v>
      </c>
      <c r="T5" s="101">
        <v>2826</v>
      </c>
      <c r="U5" s="101">
        <v>2826</v>
      </c>
      <c r="V5" s="101">
        <v>2826</v>
      </c>
    </row>
    <row r="6" spans="1:275" ht="14.4" customHeight="1" x14ac:dyDescent="0.3">
      <c r="B6" s="40" t="s">
        <v>107</v>
      </c>
      <c r="C6" s="22">
        <v>6162</v>
      </c>
      <c r="D6" s="22">
        <v>10550</v>
      </c>
      <c r="E6" s="22">
        <v>9440</v>
      </c>
      <c r="F6" s="22">
        <v>10287</v>
      </c>
      <c r="G6" s="22">
        <v>9023</v>
      </c>
      <c r="H6" s="49">
        <v>13557</v>
      </c>
      <c r="I6" s="49">
        <v>7650</v>
      </c>
      <c r="J6" s="49">
        <v>9894</v>
      </c>
      <c r="K6" s="49">
        <v>12999</v>
      </c>
      <c r="L6" s="49">
        <v>7200</v>
      </c>
      <c r="M6" s="49">
        <v>5327</v>
      </c>
      <c r="N6" s="49">
        <v>4326</v>
      </c>
      <c r="O6" s="49">
        <v>6426</v>
      </c>
      <c r="P6" s="49">
        <v>9678</v>
      </c>
      <c r="Q6" s="49">
        <v>6501</v>
      </c>
      <c r="R6" s="49">
        <v>6624</v>
      </c>
      <c r="S6" s="101">
        <v>6624</v>
      </c>
      <c r="T6" s="101">
        <v>6624</v>
      </c>
      <c r="U6" s="101">
        <v>6624</v>
      </c>
      <c r="V6" s="101">
        <v>6624</v>
      </c>
    </row>
    <row r="7" spans="1:275" ht="14.4" customHeight="1" x14ac:dyDescent="0.3">
      <c r="B7" s="40" t="s">
        <v>108</v>
      </c>
      <c r="C7" s="22">
        <v>0</v>
      </c>
      <c r="D7" s="22">
        <v>3759</v>
      </c>
      <c r="E7" s="22">
        <v>70</v>
      </c>
      <c r="F7" s="22"/>
      <c r="G7" s="22">
        <v>0</v>
      </c>
      <c r="H7" s="49">
        <v>0</v>
      </c>
      <c r="I7" s="49">
        <v>0</v>
      </c>
      <c r="J7" s="49">
        <v>0</v>
      </c>
      <c r="K7" s="49">
        <v>0</v>
      </c>
      <c r="L7" s="49">
        <v>0</v>
      </c>
      <c r="M7" s="49">
        <v>0</v>
      </c>
      <c r="N7" s="49">
        <v>0</v>
      </c>
      <c r="O7" s="49">
        <v>0</v>
      </c>
      <c r="P7" s="49">
        <v>10</v>
      </c>
      <c r="Q7" s="49">
        <v>355</v>
      </c>
      <c r="R7" s="49">
        <v>923</v>
      </c>
      <c r="S7" s="101">
        <v>923</v>
      </c>
      <c r="T7" s="101">
        <v>923</v>
      </c>
      <c r="U7" s="101">
        <v>923</v>
      </c>
      <c r="V7" s="101">
        <v>923</v>
      </c>
    </row>
    <row r="8" spans="1:275" ht="14.4" customHeight="1" x14ac:dyDescent="0.3">
      <c r="B8" s="40" t="s">
        <v>165</v>
      </c>
      <c r="C8" s="22">
        <v>33396</v>
      </c>
      <c r="D8" s="22">
        <v>33069</v>
      </c>
      <c r="E8" s="22">
        <v>27658</v>
      </c>
      <c r="F8" s="22">
        <v>34358</v>
      </c>
      <c r="G8" s="22">
        <v>37783</v>
      </c>
      <c r="H8" s="49">
        <v>33806</v>
      </c>
      <c r="I8" s="49">
        <v>37431</v>
      </c>
      <c r="J8" s="49">
        <v>36806</v>
      </c>
      <c r="K8" s="49">
        <v>33299</v>
      </c>
      <c r="L8" s="49">
        <v>37688</v>
      </c>
      <c r="M8" s="49">
        <v>33033</v>
      </c>
      <c r="N8" s="49">
        <v>30679</v>
      </c>
      <c r="O8" s="49">
        <v>23498</v>
      </c>
      <c r="P8" s="49">
        <v>24682</v>
      </c>
      <c r="Q8" s="49">
        <v>30241</v>
      </c>
      <c r="R8" s="49">
        <v>26835</v>
      </c>
      <c r="S8" s="101">
        <v>26835</v>
      </c>
      <c r="T8" s="101">
        <v>26835</v>
      </c>
      <c r="U8" s="101">
        <v>26835</v>
      </c>
      <c r="V8" s="101">
        <v>26835</v>
      </c>
    </row>
    <row r="9" spans="1:275" ht="14.4" customHeight="1" x14ac:dyDescent="0.3">
      <c r="B9" s="40" t="s">
        <v>166</v>
      </c>
      <c r="C9" s="22">
        <v>0</v>
      </c>
      <c r="D9" s="22">
        <v>0</v>
      </c>
      <c r="E9" s="22">
        <v>0</v>
      </c>
      <c r="F9" s="22">
        <v>0</v>
      </c>
      <c r="G9" s="22">
        <v>0</v>
      </c>
      <c r="H9" s="49">
        <v>0</v>
      </c>
      <c r="I9" s="49">
        <v>0</v>
      </c>
      <c r="J9" s="49">
        <v>0</v>
      </c>
      <c r="K9" s="49">
        <v>0</v>
      </c>
      <c r="L9" s="49">
        <v>22693</v>
      </c>
      <c r="M9" s="49"/>
      <c r="N9" s="49">
        <v>34424</v>
      </c>
      <c r="O9" s="49">
        <v>0</v>
      </c>
      <c r="P9" s="49">
        <v>40488</v>
      </c>
      <c r="Q9" s="49">
        <v>16777</v>
      </c>
      <c r="R9" s="49">
        <v>16777</v>
      </c>
      <c r="S9" s="101">
        <v>16777</v>
      </c>
      <c r="T9" s="101">
        <v>16777</v>
      </c>
      <c r="U9" s="101">
        <v>16777</v>
      </c>
      <c r="V9" s="101">
        <v>16777</v>
      </c>
    </row>
    <row r="10" spans="1:275" ht="14.4" customHeight="1" x14ac:dyDescent="0.3">
      <c r="B10" s="21"/>
      <c r="C10" s="22"/>
      <c r="D10" s="22"/>
      <c r="E10" s="22"/>
      <c r="F10" s="22"/>
      <c r="G10" s="22"/>
      <c r="H10" s="22"/>
      <c r="I10" s="9"/>
      <c r="J10" s="9"/>
      <c r="K10" s="9"/>
      <c r="O10" s="9"/>
    </row>
    <row r="11" spans="1:275" ht="14.4" customHeight="1" x14ac:dyDescent="0.3">
      <c r="B11" s="5" t="s">
        <v>38</v>
      </c>
      <c r="C11" s="5">
        <f t="shared" ref="C11:P11" si="2">SUM(C12:C18)</f>
        <v>1477390</v>
      </c>
      <c r="D11" s="5">
        <f t="shared" si="2"/>
        <v>1272886</v>
      </c>
      <c r="E11" s="5">
        <f t="shared" si="2"/>
        <v>1264323</v>
      </c>
      <c r="F11" s="5">
        <f t="shared" si="2"/>
        <v>1255535</v>
      </c>
      <c r="G11" s="5">
        <f t="shared" si="2"/>
        <v>1318248</v>
      </c>
      <c r="H11" s="5">
        <f t="shared" si="2"/>
        <v>1291725</v>
      </c>
      <c r="I11" s="5">
        <f t="shared" si="2"/>
        <v>1268890</v>
      </c>
      <c r="J11" s="5">
        <f t="shared" si="2"/>
        <v>1292295</v>
      </c>
      <c r="K11" s="5">
        <f t="shared" si="2"/>
        <v>1293022</v>
      </c>
      <c r="L11" s="5">
        <f t="shared" si="2"/>
        <v>1284699</v>
      </c>
      <c r="M11" s="5">
        <f t="shared" si="2"/>
        <v>1286003</v>
      </c>
      <c r="N11" s="5">
        <f t="shared" si="2"/>
        <v>1236703</v>
      </c>
      <c r="O11" s="5">
        <f t="shared" si="2"/>
        <v>1251455</v>
      </c>
      <c r="P11" s="5">
        <f t="shared" si="2"/>
        <v>1394034</v>
      </c>
      <c r="Q11" s="5">
        <f t="shared" ref="Q11:V11" si="3">SUM(Q12:Q19)</f>
        <v>1517981</v>
      </c>
      <c r="R11" s="5">
        <f t="shared" si="3"/>
        <v>1505249</v>
      </c>
      <c r="S11" s="5">
        <f t="shared" si="3"/>
        <v>1460197</v>
      </c>
      <c r="T11" s="5">
        <f t="shared" si="3"/>
        <v>1432445</v>
      </c>
      <c r="U11" s="5">
        <f t="shared" si="3"/>
        <v>1404693</v>
      </c>
      <c r="V11" s="5">
        <f t="shared" si="3"/>
        <v>1376941</v>
      </c>
    </row>
    <row r="12" spans="1:275" ht="14.4" customHeight="1" x14ac:dyDescent="0.3">
      <c r="B12" s="40" t="s">
        <v>51</v>
      </c>
      <c r="C12" s="22">
        <v>1467846</v>
      </c>
      <c r="D12" s="22">
        <v>1261998</v>
      </c>
      <c r="E12" s="22">
        <v>1254056</v>
      </c>
      <c r="F12" s="22">
        <v>1237411</v>
      </c>
      <c r="G12" s="22">
        <v>1311892</v>
      </c>
      <c r="H12" s="22">
        <v>1283710</v>
      </c>
      <c r="I12" s="22">
        <v>1261388</v>
      </c>
      <c r="J12" s="49">
        <v>1233164</v>
      </c>
      <c r="K12" s="49">
        <v>1207533</v>
      </c>
      <c r="L12" s="22">
        <v>1185576</v>
      </c>
      <c r="M12" s="22">
        <v>1158750</v>
      </c>
      <c r="N12" s="22">
        <v>1067472</v>
      </c>
      <c r="O12" s="49">
        <v>1042035</v>
      </c>
      <c r="P12" s="22">
        <v>1083891</v>
      </c>
      <c r="Q12" s="22">
        <v>1452955</v>
      </c>
      <c r="R12" s="22">
        <v>1433693</v>
      </c>
      <c r="S12" s="22">
        <f>R12+'P&amp;L'!T11+Balance!S59-CashFlow!T10-CashFlow!T33</f>
        <v>1388641</v>
      </c>
      <c r="T12" s="22">
        <f>S12+'P&amp;L'!U11+Balance!T59-CashFlow!U10-CashFlow!U33</f>
        <v>1360889</v>
      </c>
      <c r="U12" s="22">
        <f>T12+'P&amp;L'!V11+Balance!U59-CashFlow!V10-CashFlow!V33</f>
        <v>1333137</v>
      </c>
      <c r="V12" s="22">
        <f>U12+'P&amp;L'!W11+Balance!V59-CashFlow!W10-CashFlow!W33</f>
        <v>1305385</v>
      </c>
    </row>
    <row r="13" spans="1:275" ht="14.4" customHeight="1" x14ac:dyDescent="0.3">
      <c r="B13" s="40" t="s">
        <v>155</v>
      </c>
      <c r="C13" s="167">
        <v>0</v>
      </c>
      <c r="D13" s="167">
        <v>0</v>
      </c>
      <c r="E13" s="167">
        <v>0</v>
      </c>
      <c r="F13" s="167">
        <v>0</v>
      </c>
      <c r="G13" s="167">
        <v>0</v>
      </c>
      <c r="H13" s="168">
        <v>0</v>
      </c>
      <c r="I13" s="168">
        <v>0</v>
      </c>
      <c r="J13" s="49">
        <v>51866</v>
      </c>
      <c r="K13" s="49">
        <v>78870</v>
      </c>
      <c r="L13" s="49">
        <v>93178</v>
      </c>
      <c r="M13" s="49">
        <v>120679</v>
      </c>
      <c r="N13" s="49">
        <v>161326</v>
      </c>
      <c r="O13" s="49">
        <v>190884</v>
      </c>
      <c r="P13" s="49">
        <v>301651</v>
      </c>
      <c r="Q13" s="49">
        <v>55676</v>
      </c>
      <c r="R13" s="49">
        <v>56974</v>
      </c>
      <c r="S13" s="101">
        <v>56974</v>
      </c>
      <c r="T13" s="101">
        <v>56974</v>
      </c>
      <c r="U13" s="101">
        <v>56974</v>
      </c>
      <c r="V13" s="101">
        <v>56974</v>
      </c>
    </row>
    <row r="14" spans="1:275" ht="14.4" customHeight="1" x14ac:dyDescent="0.3">
      <c r="B14" s="40" t="s">
        <v>110</v>
      </c>
      <c r="C14" s="22">
        <v>372</v>
      </c>
      <c r="D14" s="22">
        <v>4583</v>
      </c>
      <c r="E14" s="22">
        <v>4594</v>
      </c>
      <c r="F14" s="22">
        <v>11369</v>
      </c>
      <c r="G14" s="22">
        <v>15</v>
      </c>
      <c r="H14" s="49">
        <v>10</v>
      </c>
      <c r="I14" s="49">
        <v>160</v>
      </c>
      <c r="J14" s="49">
        <v>382</v>
      </c>
      <c r="K14" s="49">
        <v>0</v>
      </c>
      <c r="L14" s="49">
        <v>0</v>
      </c>
      <c r="M14" s="49">
        <v>0</v>
      </c>
      <c r="N14" s="49">
        <v>0</v>
      </c>
      <c r="O14" s="49">
        <v>11924</v>
      </c>
      <c r="P14" s="49">
        <v>7117</v>
      </c>
      <c r="Q14" s="49">
        <v>7399</v>
      </c>
      <c r="R14" s="49">
        <v>3245</v>
      </c>
      <c r="S14" s="101">
        <v>3245</v>
      </c>
      <c r="T14" s="101">
        <v>3245</v>
      </c>
      <c r="U14" s="101">
        <v>3245</v>
      </c>
      <c r="V14" s="101">
        <v>3245</v>
      </c>
    </row>
    <row r="15" spans="1:275" ht="14.4" customHeight="1" x14ac:dyDescent="0.3">
      <c r="B15" s="40" t="s">
        <v>111</v>
      </c>
      <c r="C15" s="22">
        <v>3766</v>
      </c>
      <c r="D15" s="22">
        <v>4949</v>
      </c>
      <c r="E15" s="22">
        <v>4317</v>
      </c>
      <c r="F15" s="22">
        <v>5399</v>
      </c>
      <c r="G15" s="22">
        <v>4985</v>
      </c>
      <c r="H15" s="49">
        <v>6649</v>
      </c>
      <c r="I15" s="49">
        <v>5986</v>
      </c>
      <c r="J15" s="49">
        <v>5527</v>
      </c>
      <c r="K15" s="49">
        <v>5263</v>
      </c>
      <c r="L15" s="49">
        <v>4589</v>
      </c>
      <c r="M15" s="49">
        <v>5218</v>
      </c>
      <c r="N15" s="49">
        <v>6549</v>
      </c>
      <c r="O15" s="49">
        <v>5256</v>
      </c>
      <c r="P15" s="49">
        <v>1356</v>
      </c>
      <c r="Q15" s="49">
        <v>1356</v>
      </c>
      <c r="R15" s="49">
        <v>6673</v>
      </c>
      <c r="S15" s="101">
        <v>6673</v>
      </c>
      <c r="T15" s="101">
        <v>6673</v>
      </c>
      <c r="U15" s="101">
        <v>6673</v>
      </c>
      <c r="V15" s="101">
        <v>6673</v>
      </c>
    </row>
    <row r="16" spans="1:275" ht="14.4" customHeight="1" x14ac:dyDescent="0.3">
      <c r="B16" s="40" t="s">
        <v>112</v>
      </c>
      <c r="C16" s="22">
        <v>5406</v>
      </c>
      <c r="D16" s="22">
        <v>0</v>
      </c>
      <c r="E16" s="22">
        <v>0</v>
      </c>
      <c r="F16" s="22">
        <v>0</v>
      </c>
      <c r="G16" s="22">
        <v>0</v>
      </c>
      <c r="H16" s="49">
        <v>0</v>
      </c>
      <c r="I16" s="49">
        <v>0</v>
      </c>
      <c r="J16" s="49">
        <v>0</v>
      </c>
      <c r="K16" s="49">
        <v>0</v>
      </c>
      <c r="L16" s="49">
        <v>0</v>
      </c>
      <c r="M16" s="49">
        <v>0</v>
      </c>
      <c r="N16" s="49">
        <v>0</v>
      </c>
      <c r="O16" s="49">
        <v>0</v>
      </c>
      <c r="P16" s="49">
        <v>0</v>
      </c>
      <c r="Q16" s="49">
        <v>0</v>
      </c>
      <c r="R16" s="49">
        <v>0</v>
      </c>
      <c r="S16" s="101">
        <v>0</v>
      </c>
      <c r="T16" s="101">
        <v>0</v>
      </c>
      <c r="U16" s="101">
        <v>0</v>
      </c>
      <c r="V16" s="101">
        <v>0</v>
      </c>
    </row>
    <row r="17" spans="2:22" ht="14.4" customHeight="1" x14ac:dyDescent="0.3">
      <c r="B17" s="40" t="s">
        <v>107</v>
      </c>
      <c r="C17" s="22"/>
      <c r="D17" s="22"/>
      <c r="E17" s="22"/>
      <c r="F17" s="22"/>
      <c r="G17" s="22"/>
      <c r="H17" s="49"/>
      <c r="I17" s="49"/>
      <c r="J17" s="49"/>
      <c r="K17" s="49"/>
      <c r="L17" s="49"/>
      <c r="M17" s="49"/>
      <c r="N17" s="49"/>
      <c r="O17" s="49"/>
      <c r="P17" s="49"/>
      <c r="Q17" s="49">
        <v>0</v>
      </c>
      <c r="R17" s="49">
        <v>1991</v>
      </c>
      <c r="S17" s="101">
        <v>1991</v>
      </c>
      <c r="T17" s="101">
        <v>1991</v>
      </c>
      <c r="U17" s="101">
        <v>1991</v>
      </c>
      <c r="V17" s="101">
        <v>1991</v>
      </c>
    </row>
    <row r="18" spans="2:22" ht="14.4" customHeight="1" x14ac:dyDescent="0.3">
      <c r="B18" s="40" t="s">
        <v>40</v>
      </c>
      <c r="C18" s="22">
        <v>0</v>
      </c>
      <c r="D18" s="22">
        <v>1356</v>
      </c>
      <c r="E18" s="22">
        <v>1356</v>
      </c>
      <c r="F18" s="22">
        <v>1356</v>
      </c>
      <c r="G18" s="22">
        <v>1356</v>
      </c>
      <c r="H18" s="49">
        <v>1356</v>
      </c>
      <c r="I18" s="49">
        <v>1356</v>
      </c>
      <c r="J18" s="49">
        <v>1356</v>
      </c>
      <c r="K18" s="49">
        <v>1356</v>
      </c>
      <c r="L18" s="49">
        <v>1356</v>
      </c>
      <c r="M18" s="49">
        <v>1356</v>
      </c>
      <c r="N18" s="49">
        <v>1356</v>
      </c>
      <c r="O18" s="49">
        <v>1356</v>
      </c>
      <c r="P18" s="49">
        <v>19</v>
      </c>
      <c r="Q18" s="49">
        <v>595</v>
      </c>
      <c r="R18" s="49">
        <v>1356</v>
      </c>
      <c r="S18" s="101">
        <v>1356</v>
      </c>
      <c r="T18" s="101">
        <v>1356</v>
      </c>
      <c r="U18" s="101">
        <v>1356</v>
      </c>
      <c r="V18" s="101">
        <v>1356</v>
      </c>
    </row>
    <row r="19" spans="2:22" ht="14.4" customHeight="1" x14ac:dyDescent="0.3">
      <c r="B19" s="40" t="s">
        <v>108</v>
      </c>
      <c r="C19" s="22"/>
      <c r="D19" s="22"/>
      <c r="E19" s="22"/>
      <c r="F19" s="22"/>
      <c r="G19" s="22"/>
      <c r="H19" s="49"/>
      <c r="I19" s="49"/>
      <c r="J19" s="49"/>
      <c r="K19" s="49"/>
      <c r="L19" s="49"/>
      <c r="M19" s="49"/>
      <c r="N19" s="49"/>
      <c r="O19" s="49"/>
      <c r="P19" s="49"/>
      <c r="Q19" s="49">
        <v>0</v>
      </c>
      <c r="R19" s="49">
        <v>1317</v>
      </c>
      <c r="S19" s="101">
        <v>1317</v>
      </c>
      <c r="T19" s="101">
        <v>1317</v>
      </c>
      <c r="U19" s="101">
        <v>1317</v>
      </c>
      <c r="V19" s="101">
        <v>1317</v>
      </c>
    </row>
    <row r="20" spans="2:22" ht="14.4" customHeight="1" x14ac:dyDescent="0.3">
      <c r="B20" s="21"/>
      <c r="C20" s="22"/>
      <c r="D20" s="22"/>
      <c r="E20" s="22"/>
      <c r="F20" s="22"/>
      <c r="G20" s="22"/>
      <c r="H20" s="22"/>
      <c r="K20" s="9"/>
      <c r="O20" s="9"/>
    </row>
    <row r="21" spans="2:22" ht="14.4" customHeight="1" x14ac:dyDescent="0.3">
      <c r="B21" s="100" t="s">
        <v>16</v>
      </c>
      <c r="C21" s="100">
        <f t="shared" ref="C21:U21" si="4">SUM(C2+C11)</f>
        <v>1609362</v>
      </c>
      <c r="D21" s="100">
        <f t="shared" si="4"/>
        <v>1508476</v>
      </c>
      <c r="E21" s="100">
        <f t="shared" si="4"/>
        <v>1477537</v>
      </c>
      <c r="F21" s="100">
        <f t="shared" si="4"/>
        <v>1489852</v>
      </c>
      <c r="G21" s="100">
        <f t="shared" si="4"/>
        <v>1497475</v>
      </c>
      <c r="H21" s="100">
        <f t="shared" si="4"/>
        <v>1492223</v>
      </c>
      <c r="I21" s="100">
        <f t="shared" si="4"/>
        <v>1472287</v>
      </c>
      <c r="J21" s="100">
        <f t="shared" si="4"/>
        <v>1488043</v>
      </c>
      <c r="K21" s="100">
        <f t="shared" si="4"/>
        <v>1474550</v>
      </c>
      <c r="L21" s="100">
        <f t="shared" si="4"/>
        <v>1486588</v>
      </c>
      <c r="M21" s="100">
        <f t="shared" si="4"/>
        <v>1458038</v>
      </c>
      <c r="N21" s="100">
        <f t="shared" si="4"/>
        <v>1430407</v>
      </c>
      <c r="O21" s="100">
        <f t="shared" si="4"/>
        <v>1398047</v>
      </c>
      <c r="P21" s="100">
        <f t="shared" si="4"/>
        <v>1602948</v>
      </c>
      <c r="Q21" s="100">
        <f t="shared" si="4"/>
        <v>1785090</v>
      </c>
      <c r="R21" s="100">
        <f t="shared" si="4"/>
        <v>1807976</v>
      </c>
      <c r="S21" s="100">
        <f t="shared" si="4"/>
        <v>1846969.9671399998</v>
      </c>
      <c r="T21" s="100">
        <f t="shared" si="4"/>
        <v>1837990.5352658327</v>
      </c>
      <c r="U21" s="100">
        <f t="shared" si="4"/>
        <v>1772361.6435508057</v>
      </c>
      <c r="V21" s="100">
        <f t="shared" ref="V21" si="5">SUM(V2+V11)</f>
        <v>1717573.0526439028</v>
      </c>
    </row>
    <row r="22" spans="2:22" ht="14.4" customHeight="1" x14ac:dyDescent="0.3">
      <c r="B22" s="26"/>
      <c r="C22" s="26"/>
      <c r="D22" s="26"/>
      <c r="E22" s="26"/>
      <c r="F22" s="26"/>
      <c r="G22" s="26"/>
      <c r="H22" s="26"/>
      <c r="K22" s="9"/>
    </row>
    <row r="23" spans="2:22" ht="14.4" customHeight="1" x14ac:dyDescent="0.3">
      <c r="K23" s="9"/>
    </row>
    <row r="24" spans="2:22" ht="14.4" customHeight="1" x14ac:dyDescent="0.3">
      <c r="B24" s="5" t="s">
        <v>41</v>
      </c>
      <c r="C24" s="5">
        <f>SUM(C25:C29)</f>
        <v>41945</v>
      </c>
      <c r="D24" s="5">
        <f>SUM(D25:D29)</f>
        <v>64374</v>
      </c>
      <c r="E24" s="5">
        <f t="shared" ref="E24:H24" si="6">SUM(E25:E29)</f>
        <v>61243</v>
      </c>
      <c r="F24" s="5">
        <f t="shared" si="6"/>
        <v>75160</v>
      </c>
      <c r="G24" s="5">
        <f t="shared" si="6"/>
        <v>78755</v>
      </c>
      <c r="H24" s="5">
        <f t="shared" si="6"/>
        <v>56605</v>
      </c>
      <c r="I24" s="5">
        <f t="shared" ref="I24:J24" si="7">SUM(I25:I29)</f>
        <v>61723</v>
      </c>
      <c r="J24" s="5">
        <f t="shared" si="7"/>
        <v>68204</v>
      </c>
      <c r="K24" s="5">
        <f t="shared" ref="K24:L24" si="8">SUM(K25:K29)</f>
        <v>75271</v>
      </c>
      <c r="L24" s="5">
        <f t="shared" si="8"/>
        <v>109613</v>
      </c>
      <c r="M24" s="5">
        <f t="shared" ref="M24:N24" si="9">SUM(M25:M29)</f>
        <v>107928</v>
      </c>
      <c r="N24" s="5">
        <f t="shared" si="9"/>
        <v>83279</v>
      </c>
      <c r="O24" s="5">
        <f t="shared" ref="O24:P24" si="10">SUM(O25:O29)</f>
        <v>60802</v>
      </c>
      <c r="P24" s="5">
        <f t="shared" si="10"/>
        <v>74720</v>
      </c>
      <c r="Q24" s="5">
        <f t="shared" ref="Q24:R24" si="11">SUM(Q25:Q29)</f>
        <v>146087</v>
      </c>
      <c r="R24" s="5">
        <f t="shared" si="11"/>
        <v>83109</v>
      </c>
      <c r="S24" s="5">
        <f t="shared" ref="S24:T24" si="12">SUM(S25:S29)</f>
        <v>37677</v>
      </c>
      <c r="T24" s="5">
        <f t="shared" si="12"/>
        <v>37677</v>
      </c>
      <c r="U24" s="5">
        <f t="shared" ref="U24:V24" si="13">SUM(U25:U29)</f>
        <v>37677</v>
      </c>
      <c r="V24" s="5">
        <f t="shared" si="13"/>
        <v>37677</v>
      </c>
    </row>
    <row r="25" spans="2:22" ht="14.4" customHeight="1" x14ac:dyDescent="0.3">
      <c r="B25" s="17" t="s">
        <v>113</v>
      </c>
      <c r="C25" s="49">
        <v>19662</v>
      </c>
      <c r="D25" s="49">
        <v>29398</v>
      </c>
      <c r="E25" s="49">
        <v>22020</v>
      </c>
      <c r="F25" s="49">
        <v>29302</v>
      </c>
      <c r="G25" s="49">
        <v>25111</v>
      </c>
      <c r="H25" s="49">
        <v>20493</v>
      </c>
      <c r="I25" s="49">
        <v>24150</v>
      </c>
      <c r="J25" s="49">
        <v>21495</v>
      </c>
      <c r="K25" s="49">
        <v>22711</v>
      </c>
      <c r="L25" s="49">
        <v>23436</v>
      </c>
      <c r="M25" s="49">
        <v>20303</v>
      </c>
      <c r="N25" s="49">
        <v>25092</v>
      </c>
      <c r="O25" s="49">
        <v>21505</v>
      </c>
      <c r="P25" s="49">
        <v>22761</v>
      </c>
      <c r="Q25" s="49">
        <v>33933</v>
      </c>
      <c r="R25" s="49">
        <v>24077</v>
      </c>
      <c r="S25" s="101">
        <v>24077</v>
      </c>
      <c r="T25" s="101">
        <v>24077</v>
      </c>
      <c r="U25" s="101">
        <v>24077</v>
      </c>
      <c r="V25" s="101">
        <v>24077</v>
      </c>
    </row>
    <row r="26" spans="2:22" ht="14.4" customHeight="1" x14ac:dyDescent="0.3">
      <c r="B26" s="17" t="s">
        <v>114</v>
      </c>
      <c r="C26" s="49">
        <v>7002</v>
      </c>
      <c r="D26" s="49">
        <v>29626</v>
      </c>
      <c r="E26" s="49">
        <v>0</v>
      </c>
      <c r="F26" s="49">
        <v>0</v>
      </c>
      <c r="G26" s="49">
        <v>0</v>
      </c>
      <c r="H26" s="49">
        <v>0</v>
      </c>
      <c r="I26" s="49">
        <v>0</v>
      </c>
      <c r="J26" s="49">
        <v>0</v>
      </c>
      <c r="K26" s="49">
        <v>0</v>
      </c>
      <c r="L26" s="49">
        <v>0</v>
      </c>
      <c r="M26" s="49">
        <v>0</v>
      </c>
      <c r="N26" s="49">
        <v>0</v>
      </c>
      <c r="O26" s="49">
        <v>111</v>
      </c>
      <c r="P26" s="49">
        <v>68</v>
      </c>
      <c r="Q26" s="49">
        <v>0</v>
      </c>
      <c r="R26" s="49">
        <v>0</v>
      </c>
      <c r="S26" s="104">
        <v>0</v>
      </c>
      <c r="T26" s="104">
        <v>0</v>
      </c>
      <c r="U26" s="104">
        <v>0</v>
      </c>
      <c r="V26" s="104">
        <v>0</v>
      </c>
    </row>
    <row r="27" spans="2:22" ht="14.4" customHeight="1" x14ac:dyDescent="0.3">
      <c r="B27" s="17" t="s">
        <v>115</v>
      </c>
      <c r="C27" s="49">
        <v>9792</v>
      </c>
      <c r="D27" s="49">
        <v>1178</v>
      </c>
      <c r="E27" s="49">
        <v>33109</v>
      </c>
      <c r="F27" s="49">
        <v>38947</v>
      </c>
      <c r="G27" s="49">
        <v>47933</v>
      </c>
      <c r="H27" s="49">
        <v>30300</v>
      </c>
      <c r="I27" s="49">
        <v>36161</v>
      </c>
      <c r="J27" s="49">
        <v>42025</v>
      </c>
      <c r="K27" s="49">
        <v>48340</v>
      </c>
      <c r="L27" s="49">
        <v>78649</v>
      </c>
      <c r="M27" s="49">
        <v>78774</v>
      </c>
      <c r="N27" s="49">
        <v>49074</v>
      </c>
      <c r="O27" s="49">
        <v>31551</v>
      </c>
      <c r="P27" s="49">
        <v>39500</v>
      </c>
      <c r="Q27" s="49">
        <v>104647</v>
      </c>
      <c r="R27" s="49">
        <v>45432</v>
      </c>
      <c r="S27" s="45"/>
      <c r="T27" s="45"/>
      <c r="U27" s="45"/>
      <c r="V27" s="45"/>
    </row>
    <row r="28" spans="2:22" ht="14.4" customHeight="1" x14ac:dyDescent="0.3">
      <c r="B28" s="17" t="s">
        <v>45</v>
      </c>
      <c r="C28" s="49">
        <v>624</v>
      </c>
      <c r="D28" s="49">
        <v>4172</v>
      </c>
      <c r="E28" s="49">
        <v>1022</v>
      </c>
      <c r="F28" s="49">
        <v>1401</v>
      </c>
      <c r="G28" s="49">
        <v>1317</v>
      </c>
      <c r="H28" s="49">
        <v>1418</v>
      </c>
      <c r="I28" s="49">
        <v>1412</v>
      </c>
      <c r="J28" s="49">
        <v>1437</v>
      </c>
      <c r="K28" s="49">
        <v>1509</v>
      </c>
      <c r="L28" s="49">
        <v>1389</v>
      </c>
      <c r="M28" s="49">
        <v>1350</v>
      </c>
      <c r="N28" s="49">
        <v>1150</v>
      </c>
      <c r="O28" s="49">
        <v>925</v>
      </c>
      <c r="P28" s="49">
        <v>994</v>
      </c>
      <c r="Q28" s="49">
        <v>914</v>
      </c>
      <c r="R28" s="49">
        <v>1224</v>
      </c>
      <c r="S28" s="101">
        <v>1224</v>
      </c>
      <c r="T28" s="101">
        <v>1224</v>
      </c>
      <c r="U28" s="101">
        <v>1224</v>
      </c>
      <c r="V28" s="101">
        <v>1224</v>
      </c>
    </row>
    <row r="29" spans="2:22" ht="14.4" customHeight="1" x14ac:dyDescent="0.3">
      <c r="B29" s="17" t="s">
        <v>116</v>
      </c>
      <c r="C29" s="49">
        <v>4865</v>
      </c>
      <c r="D29" s="49">
        <v>0</v>
      </c>
      <c r="E29" s="49">
        <v>5092</v>
      </c>
      <c r="F29" s="49">
        <v>5510</v>
      </c>
      <c r="G29" s="49">
        <v>4394</v>
      </c>
      <c r="H29" s="49">
        <v>4394</v>
      </c>
      <c r="I29" s="49">
        <v>0</v>
      </c>
      <c r="J29" s="49">
        <v>3247</v>
      </c>
      <c r="K29" s="49">
        <v>2711</v>
      </c>
      <c r="L29" s="49">
        <v>6139</v>
      </c>
      <c r="M29" s="49">
        <v>7501</v>
      </c>
      <c r="N29" s="49">
        <v>7963</v>
      </c>
      <c r="O29" s="49">
        <v>6710</v>
      </c>
      <c r="P29" s="49">
        <v>11397</v>
      </c>
      <c r="Q29" s="49">
        <v>6593</v>
      </c>
      <c r="R29" s="49">
        <v>12376</v>
      </c>
      <c r="S29" s="101">
        <v>12376</v>
      </c>
      <c r="T29" s="101">
        <v>12376</v>
      </c>
      <c r="U29" s="101">
        <v>12376</v>
      </c>
      <c r="V29" s="101">
        <v>12376</v>
      </c>
    </row>
    <row r="30" spans="2:22" ht="14.4" customHeight="1" x14ac:dyDescent="0.3">
      <c r="B30" s="9"/>
      <c r="C30" s="9"/>
      <c r="D30" s="9"/>
      <c r="E30" s="9"/>
      <c r="F30" s="9"/>
      <c r="G30" s="9"/>
      <c r="H30" s="9"/>
      <c r="I30" s="9"/>
      <c r="J30" s="9"/>
      <c r="K30" s="9"/>
      <c r="L30" s="9"/>
      <c r="M30" s="9"/>
      <c r="N30" s="9"/>
      <c r="O30" s="9"/>
      <c r="P30" s="9"/>
      <c r="Q30" s="9"/>
    </row>
    <row r="31" spans="2:22" ht="14.4" customHeight="1" x14ac:dyDescent="0.3">
      <c r="B31" s="5" t="s">
        <v>42</v>
      </c>
      <c r="C31" s="5">
        <f>SUM(C32:C34)</f>
        <v>520059</v>
      </c>
      <c r="D31" s="5">
        <f t="shared" ref="D31:H31" si="14">SUM(D32:D34)</f>
        <v>370614</v>
      </c>
      <c r="E31" s="5">
        <f t="shared" si="14"/>
        <v>365740</v>
      </c>
      <c r="F31" s="5">
        <f t="shared" si="14"/>
        <v>353152</v>
      </c>
      <c r="G31" s="5">
        <f t="shared" si="14"/>
        <v>392204</v>
      </c>
      <c r="H31" s="5">
        <f t="shared" si="14"/>
        <v>403952</v>
      </c>
      <c r="I31" s="5">
        <f t="shared" ref="I31:J31" si="15">SUM(I32:I34)</f>
        <v>366547</v>
      </c>
      <c r="J31" s="5">
        <f t="shared" si="15"/>
        <v>377113</v>
      </c>
      <c r="K31" s="5">
        <f t="shared" ref="K31:L31" si="16">SUM(K32:K34)</f>
        <v>363594</v>
      </c>
      <c r="L31" s="5">
        <f t="shared" si="16"/>
        <v>334272</v>
      </c>
      <c r="M31" s="5">
        <f t="shared" ref="M31:N31" si="17">SUM(M32:M34)</f>
        <v>288653</v>
      </c>
      <c r="N31" s="5">
        <f t="shared" si="17"/>
        <v>258188</v>
      </c>
      <c r="O31" s="5">
        <f t="shared" ref="O31:P31" si="18">SUM(O32:O34)</f>
        <v>241333</v>
      </c>
      <c r="P31" s="5">
        <f t="shared" si="18"/>
        <v>394842</v>
      </c>
      <c r="Q31" s="5">
        <f t="shared" ref="Q31:R31" si="19">SUM(Q32:Q34)</f>
        <v>406224</v>
      </c>
      <c r="R31" s="5">
        <f t="shared" si="19"/>
        <v>395205</v>
      </c>
      <c r="S31" s="5">
        <f t="shared" ref="S31:T31" si="20">SUM(S32:S34)</f>
        <v>429279</v>
      </c>
      <c r="T31" s="5">
        <f t="shared" si="20"/>
        <v>417921</v>
      </c>
      <c r="U31" s="5">
        <f t="shared" ref="U31:V31" si="21">SUM(U32:U34)</f>
        <v>406563</v>
      </c>
      <c r="V31" s="5">
        <f t="shared" si="21"/>
        <v>395205</v>
      </c>
    </row>
    <row r="32" spans="2:22" ht="14.4" customHeight="1" x14ac:dyDescent="0.3">
      <c r="B32" s="17" t="s">
        <v>43</v>
      </c>
      <c r="C32" s="49">
        <v>512507</v>
      </c>
      <c r="D32" s="49">
        <v>367069</v>
      </c>
      <c r="E32" s="49">
        <v>362616</v>
      </c>
      <c r="F32" s="49">
        <v>349352</v>
      </c>
      <c r="G32" s="49">
        <v>388647</v>
      </c>
      <c r="H32" s="49">
        <v>398425</v>
      </c>
      <c r="I32" s="49">
        <v>361619</v>
      </c>
      <c r="J32" s="49">
        <v>372579</v>
      </c>
      <c r="K32" s="49">
        <v>359289</v>
      </c>
      <c r="L32" s="49">
        <v>330775</v>
      </c>
      <c r="M32" s="49">
        <v>285298</v>
      </c>
      <c r="N32" s="49">
        <v>253731</v>
      </c>
      <c r="O32" s="49">
        <v>236976</v>
      </c>
      <c r="P32" s="49">
        <v>389244</v>
      </c>
      <c r="Q32" s="49">
        <v>400696</v>
      </c>
      <c r="R32" s="49">
        <v>389372</v>
      </c>
      <c r="S32" s="152">
        <f>(R32+R27)-(45432/4)</f>
        <v>423446</v>
      </c>
      <c r="T32" s="152">
        <f>(S32+S27)-(45432/4)</f>
        <v>412088</v>
      </c>
      <c r="U32" s="152">
        <f>(T32+T27)-(45432/4)</f>
        <v>400730</v>
      </c>
      <c r="V32" s="152">
        <f>(U32+U27)-(45432/4)</f>
        <v>389372</v>
      </c>
    </row>
    <row r="33" spans="1:22" ht="14.4" customHeight="1" x14ac:dyDescent="0.3">
      <c r="B33" s="17" t="s">
        <v>114</v>
      </c>
      <c r="C33" s="49">
        <v>4222</v>
      </c>
      <c r="D33" s="49">
        <v>0</v>
      </c>
      <c r="E33" s="49">
        <v>0</v>
      </c>
      <c r="F33" s="49">
        <v>0</v>
      </c>
      <c r="G33" s="49">
        <v>0</v>
      </c>
      <c r="H33" s="49">
        <v>0</v>
      </c>
      <c r="I33" s="49">
        <v>0</v>
      </c>
      <c r="J33" s="49">
        <v>0</v>
      </c>
      <c r="K33" s="49">
        <v>0</v>
      </c>
      <c r="L33" s="49">
        <v>0</v>
      </c>
      <c r="M33" s="49">
        <v>0</v>
      </c>
      <c r="N33" s="49">
        <v>0</v>
      </c>
      <c r="O33" s="49">
        <v>0</v>
      </c>
      <c r="P33" s="49">
        <v>0</v>
      </c>
      <c r="Q33" s="49">
        <v>0</v>
      </c>
      <c r="R33" s="49">
        <v>0</v>
      </c>
      <c r="S33" s="101">
        <v>0</v>
      </c>
      <c r="T33" s="101">
        <v>0</v>
      </c>
      <c r="U33" s="101">
        <v>0</v>
      </c>
      <c r="V33" s="101">
        <v>0</v>
      </c>
    </row>
    <row r="34" spans="1:22" ht="14.4" customHeight="1" x14ac:dyDescent="0.3">
      <c r="B34" s="17" t="s">
        <v>117</v>
      </c>
      <c r="C34" s="49">
        <v>3330</v>
      </c>
      <c r="D34" s="49">
        <v>3545</v>
      </c>
      <c r="E34" s="49">
        <v>3124</v>
      </c>
      <c r="F34" s="49">
        <v>3800</v>
      </c>
      <c r="G34" s="49">
        <v>3557</v>
      </c>
      <c r="H34" s="49">
        <v>5527</v>
      </c>
      <c r="I34" s="49">
        <v>4928</v>
      </c>
      <c r="J34" s="49">
        <v>4534</v>
      </c>
      <c r="K34" s="49">
        <v>4305</v>
      </c>
      <c r="L34" s="49">
        <v>3497</v>
      </c>
      <c r="M34" s="49">
        <v>3355</v>
      </c>
      <c r="N34" s="49">
        <v>4457</v>
      </c>
      <c r="O34" s="49">
        <v>4357</v>
      </c>
      <c r="P34" s="49">
        <v>5598</v>
      </c>
      <c r="Q34" s="49">
        <v>5528</v>
      </c>
      <c r="R34" s="49">
        <v>5833</v>
      </c>
      <c r="S34" s="101">
        <v>5833</v>
      </c>
      <c r="T34" s="101">
        <v>5833</v>
      </c>
      <c r="U34" s="101">
        <v>5833</v>
      </c>
      <c r="V34" s="101">
        <v>5833</v>
      </c>
    </row>
    <row r="35" spans="1:22" ht="14.4" customHeight="1" x14ac:dyDescent="0.3">
      <c r="B35" s="21"/>
      <c r="C35" s="22"/>
      <c r="D35" s="22"/>
      <c r="E35" s="22"/>
      <c r="F35" s="22"/>
      <c r="G35" s="22"/>
      <c r="H35" s="22"/>
      <c r="K35" s="9"/>
    </row>
    <row r="36" spans="1:22" ht="14.4" customHeight="1" x14ac:dyDescent="0.3">
      <c r="B36" s="100" t="s">
        <v>17</v>
      </c>
      <c r="C36" s="100">
        <f>C24+C31</f>
        <v>562004</v>
      </c>
      <c r="D36" s="100">
        <f>D24+D31</f>
        <v>434988</v>
      </c>
      <c r="E36" s="100">
        <f t="shared" ref="E36:I36" si="22">E24+E31</f>
        <v>426983</v>
      </c>
      <c r="F36" s="100">
        <f t="shared" si="22"/>
        <v>428312</v>
      </c>
      <c r="G36" s="100">
        <f t="shared" si="22"/>
        <v>470959</v>
      </c>
      <c r="H36" s="100">
        <f t="shared" si="22"/>
        <v>460557</v>
      </c>
      <c r="I36" s="100">
        <f t="shared" si="22"/>
        <v>428270</v>
      </c>
      <c r="J36" s="100">
        <f t="shared" ref="J36:K36" si="23">J24+J31</f>
        <v>445317</v>
      </c>
      <c r="K36" s="100">
        <f t="shared" si="23"/>
        <v>438865</v>
      </c>
      <c r="L36" s="100">
        <f t="shared" ref="L36:M36" si="24">L24+L31</f>
        <v>443885</v>
      </c>
      <c r="M36" s="100">
        <f t="shared" si="24"/>
        <v>396581</v>
      </c>
      <c r="N36" s="100">
        <f t="shared" ref="N36:P36" si="25">N24+N31</f>
        <v>341467</v>
      </c>
      <c r="O36" s="100">
        <f t="shared" si="25"/>
        <v>302135</v>
      </c>
      <c r="P36" s="100">
        <f t="shared" si="25"/>
        <v>469562</v>
      </c>
      <c r="Q36" s="100">
        <f t="shared" ref="Q36:R36" si="26">Q24+Q31</f>
        <v>552311</v>
      </c>
      <c r="R36" s="100">
        <f t="shared" si="26"/>
        <v>478314</v>
      </c>
      <c r="S36" s="100">
        <f t="shared" ref="S36:T36" si="27">S24+S31</f>
        <v>466956</v>
      </c>
      <c r="T36" s="100">
        <f t="shared" si="27"/>
        <v>455598</v>
      </c>
      <c r="U36" s="100">
        <f t="shared" ref="U36:V36" si="28">U24+U31</f>
        <v>444240</v>
      </c>
      <c r="V36" s="100">
        <f t="shared" si="28"/>
        <v>432882</v>
      </c>
    </row>
    <row r="37" spans="1:22" ht="14.4" customHeight="1" x14ac:dyDescent="0.3">
      <c r="B37" s="26"/>
      <c r="C37" s="26"/>
      <c r="D37" s="26"/>
      <c r="E37" s="26"/>
      <c r="F37" s="26"/>
      <c r="G37" s="26"/>
      <c r="H37" s="26"/>
    </row>
    <row r="38" spans="1:22" ht="14.4" customHeight="1" x14ac:dyDescent="0.3">
      <c r="B38" s="100" t="s">
        <v>299</v>
      </c>
      <c r="C38" s="100">
        <v>1047359</v>
      </c>
      <c r="D38" s="100">
        <v>1073486</v>
      </c>
      <c r="E38" s="100">
        <v>1050553</v>
      </c>
      <c r="F38" s="100">
        <v>1061542</v>
      </c>
      <c r="G38" s="100">
        <v>1026515</v>
      </c>
      <c r="H38" s="100">
        <v>1031667</v>
      </c>
      <c r="I38" s="100">
        <v>1044060</v>
      </c>
      <c r="J38" s="100">
        <v>1042727</v>
      </c>
      <c r="K38" s="100">
        <v>1035686</v>
      </c>
      <c r="L38" s="100">
        <v>1042701</v>
      </c>
      <c r="M38" s="100">
        <v>1061457</v>
      </c>
      <c r="N38" s="100">
        <v>1088938</v>
      </c>
      <c r="O38" s="100">
        <v>1095669</v>
      </c>
      <c r="P38" s="100">
        <v>1133257</v>
      </c>
      <c r="Q38" s="100">
        <v>1232779</v>
      </c>
      <c r="R38" s="100">
        <v>1329663</v>
      </c>
      <c r="S38" s="100">
        <f>R38+'P&amp;L'!T29+CashFlow!T41+CashFlow!T46</f>
        <v>1380016.8604000001</v>
      </c>
      <c r="T38" s="100">
        <f>S38+'P&amp;L'!U29+CashFlow!U41+CashFlow!U46</f>
        <v>1382395.4285258327</v>
      </c>
      <c r="U38" s="100">
        <f>T38+'P&amp;L'!V29+CashFlow!V41+CashFlow!V46</f>
        <v>1328124.5368108056</v>
      </c>
      <c r="V38" s="100">
        <f>U38+'P&amp;L'!W29+CashFlow!W41+CashFlow!W46</f>
        <v>1284693.9459039026</v>
      </c>
    </row>
    <row r="40" spans="1:22" ht="14.4" customHeight="1" x14ac:dyDescent="0.3">
      <c r="B40" s="100" t="s">
        <v>18</v>
      </c>
      <c r="C40" s="100">
        <f t="shared" ref="C40:U40" si="29">C38+C36</f>
        <v>1609363</v>
      </c>
      <c r="D40" s="100">
        <f t="shared" si="29"/>
        <v>1508474</v>
      </c>
      <c r="E40" s="100">
        <f t="shared" si="29"/>
        <v>1477536</v>
      </c>
      <c r="F40" s="100">
        <f t="shared" si="29"/>
        <v>1489854</v>
      </c>
      <c r="G40" s="100">
        <f t="shared" si="29"/>
        <v>1497474</v>
      </c>
      <c r="H40" s="100">
        <f t="shared" si="29"/>
        <v>1492224</v>
      </c>
      <c r="I40" s="100">
        <f t="shared" si="29"/>
        <v>1472330</v>
      </c>
      <c r="J40" s="100">
        <f t="shared" si="29"/>
        <v>1488044</v>
      </c>
      <c r="K40" s="100">
        <f t="shared" si="29"/>
        <v>1474551</v>
      </c>
      <c r="L40" s="100">
        <f t="shared" si="29"/>
        <v>1486586</v>
      </c>
      <c r="M40" s="100">
        <f t="shared" si="29"/>
        <v>1458038</v>
      </c>
      <c r="N40" s="100">
        <f t="shared" si="29"/>
        <v>1430405</v>
      </c>
      <c r="O40" s="100">
        <f t="shared" si="29"/>
        <v>1397804</v>
      </c>
      <c r="P40" s="100">
        <f t="shared" si="29"/>
        <v>1602819</v>
      </c>
      <c r="Q40" s="100">
        <f t="shared" si="29"/>
        <v>1785090</v>
      </c>
      <c r="R40" s="100">
        <f t="shared" si="29"/>
        <v>1807977</v>
      </c>
      <c r="S40" s="100">
        <f t="shared" si="29"/>
        <v>1846972.8604000001</v>
      </c>
      <c r="T40" s="100">
        <f t="shared" si="29"/>
        <v>1837993.4285258327</v>
      </c>
      <c r="U40" s="100">
        <f t="shared" si="29"/>
        <v>1772364.5368108056</v>
      </c>
      <c r="V40" s="100">
        <f t="shared" ref="V40" si="30">V38+V36</f>
        <v>1717575.9459039026</v>
      </c>
    </row>
    <row r="41" spans="1:22" ht="14.4" customHeight="1" x14ac:dyDescent="0.3">
      <c r="B41" s="1" t="s">
        <v>3</v>
      </c>
      <c r="C41" s="1">
        <f t="shared" ref="C41:U41" si="31">C21-C40</f>
        <v>-1</v>
      </c>
      <c r="D41" s="1">
        <f t="shared" si="31"/>
        <v>2</v>
      </c>
      <c r="E41" s="1">
        <f t="shared" si="31"/>
        <v>1</v>
      </c>
      <c r="F41" s="1">
        <f t="shared" si="31"/>
        <v>-2</v>
      </c>
      <c r="G41" s="1">
        <f t="shared" si="31"/>
        <v>1</v>
      </c>
      <c r="H41" s="1">
        <f t="shared" si="31"/>
        <v>-1</v>
      </c>
      <c r="I41" s="1">
        <f t="shared" si="31"/>
        <v>-43</v>
      </c>
      <c r="J41" s="1">
        <f t="shared" si="31"/>
        <v>-1</v>
      </c>
      <c r="K41" s="1">
        <f t="shared" si="31"/>
        <v>-1</v>
      </c>
      <c r="L41" s="1">
        <f t="shared" si="31"/>
        <v>2</v>
      </c>
      <c r="M41" s="1">
        <f t="shared" si="31"/>
        <v>0</v>
      </c>
      <c r="N41" s="1">
        <f t="shared" si="31"/>
        <v>2</v>
      </c>
      <c r="O41" s="1">
        <f t="shared" si="31"/>
        <v>243</v>
      </c>
      <c r="P41" s="1">
        <f t="shared" si="31"/>
        <v>129</v>
      </c>
      <c r="Q41" s="1">
        <f t="shared" si="31"/>
        <v>0</v>
      </c>
      <c r="R41" s="1">
        <f t="shared" si="31"/>
        <v>-1</v>
      </c>
      <c r="S41" s="1">
        <f t="shared" si="31"/>
        <v>-2.8932600002735853</v>
      </c>
      <c r="T41" s="1">
        <f t="shared" si="31"/>
        <v>-2.8932600000407547</v>
      </c>
      <c r="U41" s="1">
        <f t="shared" si="31"/>
        <v>-2.893259999807924</v>
      </c>
      <c r="V41" s="1">
        <f t="shared" ref="V41" si="32">V21-V40</f>
        <v>-2.893259999807924</v>
      </c>
    </row>
    <row r="44" spans="1:22" ht="14.4" customHeight="1" x14ac:dyDescent="0.3">
      <c r="A44" s="34" t="s">
        <v>10</v>
      </c>
      <c r="B44" s="7" t="s">
        <v>251</v>
      </c>
      <c r="C44" s="8"/>
      <c r="D44" s="8"/>
      <c r="E44" s="8"/>
      <c r="F44" s="8"/>
      <c r="G44" s="8"/>
      <c r="H44" s="8"/>
      <c r="I44" s="8"/>
      <c r="J44" s="8"/>
      <c r="K44" s="8"/>
      <c r="L44" s="8"/>
      <c r="M44" s="8"/>
      <c r="N44" s="8"/>
      <c r="O44" s="8"/>
      <c r="P44" s="8"/>
      <c r="Q44" s="8"/>
      <c r="R44" s="8"/>
      <c r="S44" s="2"/>
      <c r="T44" s="2"/>
      <c r="U44" s="2"/>
      <c r="V44" s="2"/>
    </row>
    <row r="45" spans="1:22" ht="14.4" customHeight="1" x14ac:dyDescent="0.3">
      <c r="B45" t="s">
        <v>19</v>
      </c>
      <c r="C45" s="22">
        <f t="shared" ref="C45:U45" si="33">C27+C32</f>
        <v>522299</v>
      </c>
      <c r="D45" s="22">
        <f t="shared" si="33"/>
        <v>368247</v>
      </c>
      <c r="E45" s="22">
        <f t="shared" si="33"/>
        <v>395725</v>
      </c>
      <c r="F45" s="22">
        <f t="shared" si="33"/>
        <v>388299</v>
      </c>
      <c r="G45" s="22">
        <f t="shared" si="33"/>
        <v>436580</v>
      </c>
      <c r="H45" s="22">
        <f t="shared" si="33"/>
        <v>428725</v>
      </c>
      <c r="I45" s="22">
        <f t="shared" si="33"/>
        <v>397780</v>
      </c>
      <c r="J45" s="22">
        <f t="shared" si="33"/>
        <v>414604</v>
      </c>
      <c r="K45" s="22">
        <f t="shared" si="33"/>
        <v>407629</v>
      </c>
      <c r="L45" s="22">
        <f t="shared" si="33"/>
        <v>409424</v>
      </c>
      <c r="M45" s="22">
        <f t="shared" si="33"/>
        <v>364072</v>
      </c>
      <c r="N45" s="22">
        <f t="shared" si="33"/>
        <v>302805</v>
      </c>
      <c r="O45" s="22">
        <f t="shared" si="33"/>
        <v>268527</v>
      </c>
      <c r="P45" s="22">
        <f t="shared" si="33"/>
        <v>428744</v>
      </c>
      <c r="Q45" s="22">
        <f t="shared" si="33"/>
        <v>505343</v>
      </c>
      <c r="R45" s="22">
        <f t="shared" si="33"/>
        <v>434804</v>
      </c>
      <c r="S45" s="22">
        <f t="shared" si="33"/>
        <v>423446</v>
      </c>
      <c r="T45" s="22">
        <f t="shared" si="33"/>
        <v>412088</v>
      </c>
      <c r="U45" s="22">
        <f t="shared" si="33"/>
        <v>400730</v>
      </c>
      <c r="V45" s="22">
        <f t="shared" ref="V45" si="34">V27+V32</f>
        <v>389372</v>
      </c>
    </row>
    <row r="46" spans="1:22" ht="14.4" customHeight="1" x14ac:dyDescent="0.3">
      <c r="B46" s="27" t="s">
        <v>4</v>
      </c>
      <c r="C46" s="23"/>
      <c r="D46" s="23">
        <f>D45/C45-1</f>
        <v>-0.29494982758917787</v>
      </c>
      <c r="E46" s="23">
        <f>E45/D45-1</f>
        <v>7.4618394718762193E-2</v>
      </c>
      <c r="F46" s="23">
        <f>F45/E45-1</f>
        <v>-1.8765556889253854E-2</v>
      </c>
      <c r="G46" s="23">
        <f t="shared" ref="G46:V46" si="35">G45/F45-1</f>
        <v>0.12433974849278528</v>
      </c>
      <c r="H46" s="23">
        <f t="shared" si="35"/>
        <v>-1.7992120573548931E-2</v>
      </c>
      <c r="I46" s="23">
        <f t="shared" si="35"/>
        <v>-7.2179135809668171E-2</v>
      </c>
      <c r="J46" s="23">
        <f t="shared" si="35"/>
        <v>4.2294735783598991E-2</v>
      </c>
      <c r="K46" s="23">
        <f t="shared" si="35"/>
        <v>-1.6823281975089532E-2</v>
      </c>
      <c r="L46" s="23">
        <f t="shared" si="35"/>
        <v>4.4035139796236855E-3</v>
      </c>
      <c r="M46" s="23">
        <f t="shared" si="35"/>
        <v>-0.11077025284301845</v>
      </c>
      <c r="N46" s="23">
        <f t="shared" si="35"/>
        <v>-0.16828264738842869</v>
      </c>
      <c r="O46" s="23">
        <f t="shared" si="35"/>
        <v>-0.11320156536384807</v>
      </c>
      <c r="P46" s="23">
        <f t="shared" si="35"/>
        <v>0.5966513609432198</v>
      </c>
      <c r="Q46" s="23">
        <f t="shared" si="35"/>
        <v>0.17865905995185938</v>
      </c>
      <c r="R46" s="23">
        <f t="shared" si="35"/>
        <v>-0.13958637994391931</v>
      </c>
      <c r="S46" s="23">
        <f t="shared" si="35"/>
        <v>-2.6122114791952256E-2</v>
      </c>
      <c r="T46" s="23">
        <f t="shared" si="35"/>
        <v>-2.6822782598017181E-2</v>
      </c>
      <c r="U46" s="23">
        <f t="shared" si="35"/>
        <v>-2.7562074120090818E-2</v>
      </c>
      <c r="V46" s="23">
        <f t="shared" si="35"/>
        <v>-2.8343273525815338E-2</v>
      </c>
    </row>
    <row r="47" spans="1:22" ht="14.4" customHeight="1" x14ac:dyDescent="0.3">
      <c r="B47" t="s">
        <v>20</v>
      </c>
      <c r="C47" s="22">
        <f t="shared" ref="C47:U47" si="36">C45-C3</f>
        <v>461641</v>
      </c>
      <c r="D47" s="22">
        <f t="shared" si="36"/>
        <v>242299</v>
      </c>
      <c r="E47" s="22">
        <f t="shared" si="36"/>
        <v>278176</v>
      </c>
      <c r="F47" s="22">
        <f t="shared" si="36"/>
        <v>257650</v>
      </c>
      <c r="G47" s="22">
        <f t="shared" si="36"/>
        <v>362660</v>
      </c>
      <c r="H47" s="22">
        <f t="shared" si="36"/>
        <v>353987</v>
      </c>
      <c r="I47" s="22">
        <f t="shared" si="36"/>
        <v>324704</v>
      </c>
      <c r="J47" s="22">
        <f t="shared" si="36"/>
        <v>341962</v>
      </c>
      <c r="K47" s="22">
        <f t="shared" si="36"/>
        <v>333800</v>
      </c>
      <c r="L47" s="22">
        <f t="shared" si="36"/>
        <v>331281</v>
      </c>
      <c r="M47" s="22">
        <f t="shared" si="36"/>
        <v>283562</v>
      </c>
      <c r="N47" s="22">
        <f t="shared" si="36"/>
        <v>220145</v>
      </c>
      <c r="O47" s="22">
        <f t="shared" si="36"/>
        <v>187277</v>
      </c>
      <c r="P47" s="22">
        <f t="shared" si="36"/>
        <v>349710</v>
      </c>
      <c r="Q47" s="22">
        <f t="shared" si="36"/>
        <v>379097</v>
      </c>
      <c r="R47" s="22">
        <f t="shared" si="36"/>
        <v>273121</v>
      </c>
      <c r="S47" s="22">
        <f t="shared" si="36"/>
        <v>177717.03286000001</v>
      </c>
      <c r="T47" s="22">
        <f t="shared" si="36"/>
        <v>147586.46473416733</v>
      </c>
      <c r="U47" s="22">
        <f t="shared" si="36"/>
        <v>174105.35644919434</v>
      </c>
      <c r="V47" s="22">
        <f t="shared" ref="V47" si="37">V45-V3</f>
        <v>189783.94735609717</v>
      </c>
    </row>
    <row r="48" spans="1:22" ht="14.4" customHeight="1" x14ac:dyDescent="0.3">
      <c r="B48" s="27" t="s">
        <v>5</v>
      </c>
      <c r="C48" s="23"/>
      <c r="D48" s="23"/>
      <c r="E48" s="23"/>
      <c r="F48" s="23"/>
      <c r="G48" s="23"/>
    </row>
    <row r="49" spans="1:22" ht="14.4" customHeight="1" x14ac:dyDescent="0.3">
      <c r="B49"/>
      <c r="C49" s="13"/>
      <c r="D49" s="13"/>
    </row>
    <row r="50" spans="1:22" ht="14.4" customHeight="1" x14ac:dyDescent="0.3">
      <c r="B50"/>
      <c r="C50" s="13"/>
      <c r="D50" s="13"/>
    </row>
    <row r="51" spans="1:22" ht="14.4" customHeight="1" x14ac:dyDescent="0.3">
      <c r="A51" s="34" t="s">
        <v>10</v>
      </c>
      <c r="B51" s="7" t="s">
        <v>8</v>
      </c>
      <c r="C51" s="8"/>
      <c r="D51" s="8"/>
      <c r="E51" s="8"/>
      <c r="F51" s="8"/>
      <c r="G51" s="8"/>
      <c r="H51" s="8"/>
      <c r="I51" s="8"/>
      <c r="J51" s="8"/>
      <c r="K51" s="8"/>
      <c r="L51" s="8"/>
      <c r="M51" s="8"/>
      <c r="N51" s="8"/>
      <c r="O51" s="8"/>
      <c r="P51" s="8"/>
      <c r="Q51" s="8"/>
      <c r="R51" s="8"/>
      <c r="S51" s="2"/>
      <c r="T51" s="2"/>
      <c r="U51" s="2"/>
      <c r="V51" s="2"/>
    </row>
    <row r="52" spans="1:22" ht="14.4" customHeight="1" x14ac:dyDescent="0.3">
      <c r="B52"/>
      <c r="C52" s="13"/>
      <c r="D52" s="13"/>
    </row>
    <row r="53" spans="1:22" ht="14.4" customHeight="1" x14ac:dyDescent="0.3">
      <c r="B53" s="16" t="s">
        <v>8</v>
      </c>
      <c r="C53" s="15">
        <f>(C4+C5+C6+C8+C13+C14+C9)-(C25+C29-C28)</f>
        <v>47783</v>
      </c>
      <c r="D53" s="15">
        <f t="shared" ref="D53:U53" si="38">(D4+D5+D6+D8+D13+D14+D9)-(D25+D29-D28)</f>
        <v>85240</v>
      </c>
      <c r="E53" s="15">
        <f t="shared" si="38"/>
        <v>74099</v>
      </c>
      <c r="F53" s="15">
        <f t="shared" si="38"/>
        <v>81626</v>
      </c>
      <c r="G53" s="15">
        <f t="shared" si="38"/>
        <v>77134</v>
      </c>
      <c r="H53" s="15">
        <f t="shared" si="38"/>
        <v>102301</v>
      </c>
      <c r="I53" s="15">
        <f t="shared" si="38"/>
        <v>107743</v>
      </c>
      <c r="J53" s="15">
        <f t="shared" si="38"/>
        <v>152049</v>
      </c>
      <c r="K53" s="15">
        <f t="shared" si="38"/>
        <v>162656</v>
      </c>
      <c r="L53" s="15">
        <f t="shared" si="38"/>
        <v>188738</v>
      </c>
      <c r="M53" s="15">
        <f t="shared" si="38"/>
        <v>185750</v>
      </c>
      <c r="N53" s="15">
        <f t="shared" si="38"/>
        <v>240465</v>
      </c>
      <c r="O53" s="15">
        <f t="shared" si="38"/>
        <v>240860</v>
      </c>
      <c r="P53" s="15">
        <f t="shared" si="38"/>
        <v>405474</v>
      </c>
      <c r="Q53" s="15">
        <f t="shared" si="38"/>
        <v>163971</v>
      </c>
      <c r="R53" s="15">
        <f t="shared" si="38"/>
        <v>165111</v>
      </c>
      <c r="S53" s="15">
        <f t="shared" si="38"/>
        <v>165111</v>
      </c>
      <c r="T53" s="15">
        <f t="shared" si="38"/>
        <v>165111</v>
      </c>
      <c r="U53" s="15">
        <f t="shared" si="38"/>
        <v>165111</v>
      </c>
      <c r="V53" s="15">
        <f t="shared" ref="V53" si="39">(V4+V5+V6+V8+V13+V14+V9)-(V25+V29-V28)</f>
        <v>165111</v>
      </c>
    </row>
    <row r="54" spans="1:22" ht="14.4" customHeight="1" x14ac:dyDescent="0.3">
      <c r="B54" s="27" t="s">
        <v>6</v>
      </c>
      <c r="C54" s="10"/>
      <c r="D54" s="10"/>
      <c r="E54" s="10"/>
      <c r="F54" s="10"/>
      <c r="G54" s="10"/>
    </row>
    <row r="55" spans="1:22" ht="14.4" customHeight="1" x14ac:dyDescent="0.3">
      <c r="B55" s="27" t="s">
        <v>7</v>
      </c>
      <c r="C55" s="10"/>
      <c r="D55" s="10"/>
      <c r="E55" s="10"/>
      <c r="F55" s="10"/>
      <c r="G55" s="10"/>
    </row>
    <row r="56" spans="1:22" ht="14.4" customHeight="1" x14ac:dyDescent="0.3">
      <c r="B56" s="11"/>
      <c r="C56" s="10"/>
      <c r="D56" s="10"/>
    </row>
    <row r="58" spans="1:22" ht="14.4" customHeight="1" x14ac:dyDescent="0.3">
      <c r="A58" s="34" t="s">
        <v>10</v>
      </c>
      <c r="B58" s="7" t="s">
        <v>1</v>
      </c>
      <c r="C58" s="8"/>
      <c r="D58" s="8"/>
      <c r="E58" s="8"/>
      <c r="F58" s="8"/>
      <c r="G58" s="8"/>
      <c r="H58" s="8"/>
      <c r="I58" s="8"/>
      <c r="J58" s="8"/>
      <c r="K58" s="8"/>
      <c r="L58" s="8"/>
      <c r="M58" s="8"/>
      <c r="N58" s="8"/>
      <c r="O58" s="8"/>
      <c r="P58" s="8"/>
      <c r="Q58" s="8"/>
      <c r="R58" s="8"/>
      <c r="S58" s="2"/>
      <c r="T58" s="2"/>
      <c r="U58" s="2"/>
      <c r="V58" s="2"/>
    </row>
    <row r="59" spans="1:22" ht="14.4" customHeight="1" x14ac:dyDescent="0.3">
      <c r="B59" s="1" t="s">
        <v>1</v>
      </c>
      <c r="G59" s="1">
        <v>0</v>
      </c>
      <c r="H59" s="1">
        <v>0</v>
      </c>
      <c r="R59" s="49"/>
      <c r="S59" s="152">
        <v>0</v>
      </c>
      <c r="T59" s="152">
        <v>0</v>
      </c>
      <c r="U59" s="152">
        <v>0</v>
      </c>
      <c r="V59" s="152">
        <v>0</v>
      </c>
    </row>
    <row r="61" spans="1:22" ht="14.4" customHeight="1" x14ac:dyDescent="0.3">
      <c r="I61" s="47"/>
    </row>
  </sheetData>
  <pageMargins left="0.7" right="0.7" top="0.75" bottom="0.75" header="0.3" footer="0.3"/>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JP63"/>
  <sheetViews>
    <sheetView showGridLines="0" zoomScale="85" zoomScaleNormal="85" workbookViewId="0">
      <pane xSplit="2" ySplit="1" topLeftCell="N11" activePane="bottomRight" state="frozen"/>
      <selection pane="topRight" activeCell="C1" sqref="C1"/>
      <selection pane="bottomLeft" activeCell="A2" sqref="A2"/>
      <selection pane="bottomRight" activeCell="W2" sqref="W2"/>
    </sheetView>
  </sheetViews>
  <sheetFormatPr baseColWidth="10" defaultColWidth="12.77734375" defaultRowHeight="14.4" customHeight="1" outlineLevelCol="1" x14ac:dyDescent="0.3"/>
  <cols>
    <col min="1" max="1" width="2.77734375" style="34" customWidth="1"/>
    <col min="2" max="2" width="52.21875" style="1" bestFit="1" customWidth="1"/>
    <col min="3" max="13" width="12.77734375" style="1" hidden="1" customWidth="1" outlineLevel="1"/>
    <col min="14" max="14" width="12.77734375" style="1" collapsed="1"/>
    <col min="15" max="16384" width="12.77734375" style="1"/>
  </cols>
  <sheetData>
    <row r="1" spans="1:276" customFormat="1" ht="14.4" customHeight="1" x14ac:dyDescent="0.3">
      <c r="A1" s="30"/>
      <c r="B1" s="7" t="s">
        <v>148</v>
      </c>
      <c r="C1" s="8">
        <f>D1-1</f>
        <v>2021</v>
      </c>
      <c r="D1" s="8">
        <v>2022</v>
      </c>
      <c r="E1" s="8">
        <v>2023</v>
      </c>
      <c r="F1" s="8" t="s">
        <v>12</v>
      </c>
      <c r="G1" s="8" t="s">
        <v>13</v>
      </c>
      <c r="H1" s="8" t="s">
        <v>11</v>
      </c>
      <c r="I1" s="8" t="s">
        <v>14</v>
      </c>
      <c r="J1" s="8" t="s">
        <v>48</v>
      </c>
      <c r="K1" s="8" t="s">
        <v>49</v>
      </c>
      <c r="L1" s="8" t="s">
        <v>50</v>
      </c>
      <c r="M1" s="8" t="s">
        <v>28</v>
      </c>
      <c r="N1" s="8" t="s">
        <v>157</v>
      </c>
      <c r="O1" s="8" t="s">
        <v>158</v>
      </c>
      <c r="P1" s="8" t="s">
        <v>159</v>
      </c>
      <c r="Q1" s="8" t="s">
        <v>160</v>
      </c>
      <c r="R1" s="8" t="s">
        <v>169</v>
      </c>
      <c r="S1" s="8" t="s">
        <v>170</v>
      </c>
      <c r="T1" s="2" t="s">
        <v>171</v>
      </c>
      <c r="U1" s="2" t="s">
        <v>172</v>
      </c>
      <c r="V1" s="2" t="s">
        <v>241</v>
      </c>
      <c r="W1" s="2" t="s">
        <v>300</v>
      </c>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row>
    <row r="2" spans="1:276" ht="14.4" customHeight="1" x14ac:dyDescent="0.3">
      <c r="B2" s="37" t="s">
        <v>99</v>
      </c>
      <c r="C2" s="4">
        <f>'P&amp;L'!C29</f>
        <v>-11506</v>
      </c>
      <c r="D2" s="4">
        <f>'P&amp;L'!D29</f>
        <v>61980</v>
      </c>
      <c r="E2" s="4">
        <f>'P&amp;L'!E29</f>
        <v>156916</v>
      </c>
      <c r="F2" s="4">
        <f>'P&amp;L'!F29</f>
        <v>38041</v>
      </c>
      <c r="G2" s="4">
        <f>'P&amp;L'!G29</f>
        <v>57081</v>
      </c>
      <c r="H2" s="4">
        <f>'P&amp;L'!H29</f>
        <v>30967</v>
      </c>
      <c r="I2" s="4">
        <f>'P&amp;L'!I29</f>
        <v>35308</v>
      </c>
      <c r="J2" s="4">
        <f>'P&amp;L'!J29</f>
        <v>47071</v>
      </c>
      <c r="K2" s="4">
        <f>'P&amp;L'!K29</f>
        <v>44490</v>
      </c>
      <c r="L2" s="4">
        <f>'P&amp;L'!L29</f>
        <v>35190</v>
      </c>
      <c r="M2" s="4">
        <f>'P&amp;L'!M29</f>
        <v>54711</v>
      </c>
      <c r="N2" s="4">
        <f>'P&amp;L'!N29</f>
        <v>44051</v>
      </c>
      <c r="O2" s="4">
        <v>56032</v>
      </c>
      <c r="P2" s="4">
        <f>'P&amp;L'!P29</f>
        <v>44805</v>
      </c>
      <c r="Q2" s="4">
        <f>'P&amp;L'!Q29</f>
        <v>66076</v>
      </c>
      <c r="R2" s="4">
        <f>'P&amp;L'!R29</f>
        <v>164525</v>
      </c>
      <c r="S2" s="4">
        <v>198339</v>
      </c>
      <c r="T2" s="4">
        <f>'P&amp;L'!T29</f>
        <v>246808.24</v>
      </c>
      <c r="U2" s="4">
        <f>'P&amp;L'!U29</f>
        <v>214741.1535999999</v>
      </c>
      <c r="V2" s="4">
        <f>'P&amp;L'!V29</f>
        <v>160222.12288000004</v>
      </c>
      <c r="W2" s="4">
        <f>'P&amp;L'!W29</f>
        <v>116606.89830400009</v>
      </c>
    </row>
    <row r="3" spans="1:276" ht="14.4" customHeight="1" x14ac:dyDescent="0.3">
      <c r="B3"/>
      <c r="C3" s="9"/>
      <c r="D3" s="9"/>
      <c r="E3" s="49"/>
      <c r="F3" s="9"/>
      <c r="G3" s="9"/>
      <c r="H3" s="9"/>
      <c r="I3" s="9"/>
    </row>
    <row r="4" spans="1:276" ht="14.4" customHeight="1" x14ac:dyDescent="0.3">
      <c r="B4" s="37" t="s">
        <v>273</v>
      </c>
      <c r="C4" s="4">
        <f>SUM(C5:C17)</f>
        <v>103606</v>
      </c>
      <c r="D4" s="4">
        <f t="shared" ref="D4:M4" si="0">SUM(D5:D17)</f>
        <v>94232</v>
      </c>
      <c r="E4" s="35">
        <f t="shared" si="0"/>
        <v>114902</v>
      </c>
      <c r="F4" s="4">
        <f t="shared" si="0"/>
        <v>27204</v>
      </c>
      <c r="G4" s="4">
        <f t="shared" si="0"/>
        <v>28140</v>
      </c>
      <c r="H4" s="4">
        <f t="shared" si="0"/>
        <v>29705</v>
      </c>
      <c r="I4" s="4">
        <f t="shared" si="0"/>
        <v>29853</v>
      </c>
      <c r="J4" s="4">
        <f t="shared" si="0"/>
        <v>29956</v>
      </c>
      <c r="K4" s="4">
        <f t="shared" si="0"/>
        <v>29554</v>
      </c>
      <c r="L4" s="4">
        <f t="shared" si="0"/>
        <v>29632</v>
      </c>
      <c r="M4" s="4">
        <f t="shared" si="0"/>
        <v>1760</v>
      </c>
      <c r="N4" s="4">
        <f t="shared" ref="N4" si="1">SUM(N5:N17)</f>
        <v>9996</v>
      </c>
      <c r="O4" s="4">
        <f t="shared" ref="O4:Q4" si="2">SUM(O5:O17)</f>
        <v>11000</v>
      </c>
      <c r="P4" s="4">
        <f t="shared" si="2"/>
        <v>11750</v>
      </c>
      <c r="Q4" s="4">
        <f t="shared" si="2"/>
        <v>28002</v>
      </c>
      <c r="R4" s="4">
        <v>-35959</v>
      </c>
      <c r="S4" s="4">
        <v>28481</v>
      </c>
      <c r="T4" s="4">
        <f t="shared" ref="T4:U4" si="3">SUM(T5:T17)</f>
        <v>-6448</v>
      </c>
      <c r="U4" s="4">
        <f t="shared" si="3"/>
        <v>27752</v>
      </c>
      <c r="V4" s="4">
        <f t="shared" ref="V4:W4" si="4">SUM(V5:V17)</f>
        <v>27752</v>
      </c>
      <c r="W4" s="4">
        <f t="shared" si="4"/>
        <v>27752</v>
      </c>
    </row>
    <row r="5" spans="1:276" ht="14.4" customHeight="1" x14ac:dyDescent="0.3">
      <c r="B5" s="40" t="s">
        <v>0</v>
      </c>
      <c r="C5" s="9">
        <v>128639</v>
      </c>
      <c r="D5" s="9">
        <v>123255</v>
      </c>
      <c r="E5" s="49">
        <f t="shared" ref="E5:E17" si="5">SUM(F5:I5)</f>
        <v>108903</v>
      </c>
      <c r="F5" s="9">
        <v>25726</v>
      </c>
      <c r="G5" s="9">
        <v>26376</v>
      </c>
      <c r="H5" s="9">
        <v>28326</v>
      </c>
      <c r="I5" s="9">
        <v>28475</v>
      </c>
      <c r="J5" s="1">
        <v>28250</v>
      </c>
      <c r="K5" s="1">
        <f>-'P&amp;L'!K11</f>
        <v>27878</v>
      </c>
      <c r="L5" s="1">
        <f>-'P&amp;L'!L11</f>
        <v>28135</v>
      </c>
      <c r="M5" s="1">
        <f>-'P&amp;L'!M11</f>
        <v>27621</v>
      </c>
      <c r="N5" s="1">
        <f>-'P&amp;L'!N11</f>
        <v>27270</v>
      </c>
      <c r="O5" s="1">
        <v>26139</v>
      </c>
      <c r="P5" s="9">
        <f>-'P&amp;L'!P11</f>
        <v>25969</v>
      </c>
      <c r="Q5" s="1">
        <v>26991</v>
      </c>
      <c r="R5" s="1">
        <f>-'P&amp;L'!R11</f>
        <v>25647</v>
      </c>
      <c r="S5" s="9">
        <v>27752</v>
      </c>
      <c r="T5" s="9">
        <f>-'P&amp;L'!T11</f>
        <v>27752</v>
      </c>
      <c r="U5" s="9">
        <f>-'P&amp;L'!U11</f>
        <v>27752</v>
      </c>
      <c r="V5" s="9">
        <f>-'P&amp;L'!V11</f>
        <v>27752</v>
      </c>
      <c r="W5" s="9">
        <f>-'P&amp;L'!W11</f>
        <v>27752</v>
      </c>
    </row>
    <row r="6" spans="1:276" ht="14.4" customHeight="1" x14ac:dyDescent="0.3">
      <c r="B6" s="40" t="s">
        <v>89</v>
      </c>
      <c r="C6" s="9">
        <v>0</v>
      </c>
      <c r="D6" s="9">
        <v>0</v>
      </c>
      <c r="E6" s="49">
        <v>0</v>
      </c>
      <c r="F6" s="9">
        <v>0</v>
      </c>
      <c r="G6" s="9">
        <v>0</v>
      </c>
      <c r="H6" s="9">
        <v>0</v>
      </c>
      <c r="I6" s="9">
        <v>0</v>
      </c>
      <c r="J6" s="1">
        <v>0</v>
      </c>
      <c r="K6" s="1">
        <v>0</v>
      </c>
      <c r="L6" s="1">
        <v>0</v>
      </c>
      <c r="M6" s="1">
        <v>-27909</v>
      </c>
      <c r="N6" s="1">
        <v>0</v>
      </c>
      <c r="O6" s="1">
        <v>0</v>
      </c>
      <c r="P6" s="9">
        <v>0</v>
      </c>
      <c r="Q6" s="1">
        <v>0</v>
      </c>
      <c r="R6" s="1">
        <v>0</v>
      </c>
      <c r="S6" s="49">
        <v>0</v>
      </c>
      <c r="T6" s="152">
        <v>0</v>
      </c>
      <c r="U6" s="152">
        <v>0</v>
      </c>
      <c r="V6" s="152">
        <v>0</v>
      </c>
      <c r="W6" s="152">
        <v>0</v>
      </c>
    </row>
    <row r="7" spans="1:276" ht="14.4" customHeight="1" x14ac:dyDescent="0.3">
      <c r="B7" s="40" t="s">
        <v>118</v>
      </c>
      <c r="C7" s="9">
        <v>2550</v>
      </c>
      <c r="D7" s="9">
        <v>2281</v>
      </c>
      <c r="E7" s="49">
        <f t="shared" si="5"/>
        <v>0</v>
      </c>
      <c r="F7" s="9"/>
      <c r="G7" s="9"/>
      <c r="H7" s="9"/>
      <c r="I7" s="9"/>
      <c r="P7" s="9"/>
      <c r="Q7" s="9"/>
      <c r="R7" s="1">
        <v>581</v>
      </c>
      <c r="S7" s="49">
        <v>0</v>
      </c>
      <c r="T7" s="152">
        <v>0</v>
      </c>
      <c r="U7" s="152">
        <v>0</v>
      </c>
      <c r="V7" s="152">
        <v>0</v>
      </c>
      <c r="W7" s="152">
        <v>0</v>
      </c>
    </row>
    <row r="8" spans="1:276" ht="14.4" customHeight="1" x14ac:dyDescent="0.3">
      <c r="B8" s="40" t="s">
        <v>119</v>
      </c>
      <c r="C8" s="9">
        <v>0</v>
      </c>
      <c r="D8" s="9">
        <v>621</v>
      </c>
      <c r="E8" s="49">
        <f t="shared" si="5"/>
        <v>2971</v>
      </c>
      <c r="F8" s="9">
        <v>836</v>
      </c>
      <c r="G8" s="9">
        <v>722</v>
      </c>
      <c r="H8" s="9">
        <v>664</v>
      </c>
      <c r="I8" s="9">
        <v>749</v>
      </c>
      <c r="J8" s="1">
        <v>680</v>
      </c>
      <c r="K8" s="9">
        <v>662</v>
      </c>
      <c r="L8" s="9">
        <v>652</v>
      </c>
      <c r="M8" s="9">
        <v>633</v>
      </c>
      <c r="N8" s="9">
        <v>601</v>
      </c>
      <c r="O8" s="9">
        <v>816</v>
      </c>
      <c r="P8" s="9">
        <v>544</v>
      </c>
      <c r="Q8" s="9">
        <v>491</v>
      </c>
      <c r="R8" s="57">
        <v>0</v>
      </c>
      <c r="S8" s="49">
        <v>1039</v>
      </c>
      <c r="T8" s="152">
        <v>0</v>
      </c>
      <c r="U8" s="152">
        <v>0</v>
      </c>
      <c r="V8" s="152">
        <v>0</v>
      </c>
      <c r="W8" s="152">
        <v>0</v>
      </c>
    </row>
    <row r="9" spans="1:276" ht="14.4" customHeight="1" x14ac:dyDescent="0.3">
      <c r="B9" s="40" t="s">
        <v>120</v>
      </c>
      <c r="C9" s="9">
        <v>0</v>
      </c>
      <c r="D9" s="9">
        <v>0</v>
      </c>
      <c r="E9" s="49">
        <f t="shared" si="5"/>
        <v>17</v>
      </c>
      <c r="F9" s="9">
        <v>9</v>
      </c>
      <c r="G9" s="9"/>
      <c r="H9" s="9">
        <v>8</v>
      </c>
      <c r="I9" s="9"/>
      <c r="J9" s="1">
        <v>0</v>
      </c>
      <c r="K9" s="57">
        <v>0</v>
      </c>
      <c r="L9" s="57">
        <v>0</v>
      </c>
      <c r="M9" s="57">
        <v>0</v>
      </c>
      <c r="N9" s="9">
        <v>0</v>
      </c>
      <c r="O9" s="9">
        <v>0</v>
      </c>
      <c r="P9" s="9">
        <v>0</v>
      </c>
      <c r="Q9" s="9">
        <v>0</v>
      </c>
      <c r="R9" s="57">
        <v>0</v>
      </c>
      <c r="S9" s="49">
        <v>28</v>
      </c>
      <c r="T9" s="152">
        <v>0</v>
      </c>
      <c r="U9" s="152">
        <v>0</v>
      </c>
      <c r="V9" s="152">
        <v>0</v>
      </c>
      <c r="W9" s="152">
        <v>0</v>
      </c>
    </row>
    <row r="10" spans="1:276" ht="14.4" customHeight="1" x14ac:dyDescent="0.3">
      <c r="B10" s="40" t="s">
        <v>121</v>
      </c>
      <c r="C10" s="9">
        <v>-15153</v>
      </c>
      <c r="D10" s="9">
        <v>-19512</v>
      </c>
      <c r="E10" s="49">
        <f t="shared" si="5"/>
        <v>0</v>
      </c>
      <c r="F10" s="9">
        <v>0</v>
      </c>
      <c r="G10" s="9">
        <v>0</v>
      </c>
      <c r="H10" s="9">
        <v>0</v>
      </c>
      <c r="I10" s="9">
        <v>0</v>
      </c>
      <c r="J10" s="1">
        <v>0</v>
      </c>
      <c r="K10" s="57">
        <v>0</v>
      </c>
      <c r="L10" s="57">
        <v>0</v>
      </c>
      <c r="M10" s="57">
        <v>0</v>
      </c>
      <c r="N10" s="9">
        <v>-19795</v>
      </c>
      <c r="O10" s="9">
        <v>-17459</v>
      </c>
      <c r="P10" s="9">
        <v>-15688</v>
      </c>
      <c r="Q10" s="9">
        <v>0</v>
      </c>
      <c r="R10" s="9">
        <v>-59994</v>
      </c>
      <c r="S10" s="49">
        <v>0</v>
      </c>
      <c r="T10" s="152">
        <v>-34200</v>
      </c>
      <c r="U10" s="152">
        <v>0</v>
      </c>
      <c r="V10" s="152">
        <v>0</v>
      </c>
      <c r="W10" s="152">
        <v>0</v>
      </c>
    </row>
    <row r="11" spans="1:276" ht="14.4" customHeight="1" x14ac:dyDescent="0.3">
      <c r="B11" s="40" t="s">
        <v>173</v>
      </c>
      <c r="C11" s="9">
        <v>0</v>
      </c>
      <c r="D11" s="9">
        <v>0</v>
      </c>
      <c r="E11" s="49">
        <v>0</v>
      </c>
      <c r="F11" s="9">
        <v>0</v>
      </c>
      <c r="G11" s="9">
        <v>0</v>
      </c>
      <c r="H11" s="9">
        <v>0</v>
      </c>
      <c r="I11" s="9">
        <v>0</v>
      </c>
      <c r="J11" s="1">
        <v>0</v>
      </c>
      <c r="K11" s="57">
        <v>0</v>
      </c>
      <c r="L11" s="57">
        <v>0</v>
      </c>
      <c r="M11" s="57">
        <v>0</v>
      </c>
      <c r="N11" s="9">
        <v>0</v>
      </c>
      <c r="O11" s="9">
        <v>0</v>
      </c>
      <c r="P11" s="9">
        <v>0</v>
      </c>
      <c r="Q11" s="9">
        <v>0</v>
      </c>
      <c r="R11" s="9">
        <v>-2170</v>
      </c>
      <c r="S11" s="49">
        <v>-665</v>
      </c>
      <c r="T11" s="152">
        <v>0</v>
      </c>
      <c r="U11" s="152">
        <v>0</v>
      </c>
      <c r="V11" s="152">
        <v>0</v>
      </c>
      <c r="W11" s="152">
        <v>0</v>
      </c>
    </row>
    <row r="12" spans="1:276" ht="14.4" customHeight="1" x14ac:dyDescent="0.3">
      <c r="B12" s="40" t="s">
        <v>122</v>
      </c>
      <c r="C12" s="9">
        <v>-12450</v>
      </c>
      <c r="D12" s="9">
        <v>-14983</v>
      </c>
      <c r="E12" s="49">
        <f t="shared" si="5"/>
        <v>503</v>
      </c>
      <c r="F12" s="9">
        <v>433</v>
      </c>
      <c r="G12" s="9">
        <v>70</v>
      </c>
      <c r="H12" s="9"/>
      <c r="I12" s="9"/>
      <c r="J12" s="1">
        <v>0</v>
      </c>
      <c r="K12" s="57">
        <v>0</v>
      </c>
      <c r="L12" s="57">
        <v>0</v>
      </c>
      <c r="M12" s="57">
        <v>0</v>
      </c>
      <c r="N12" s="57">
        <v>0</v>
      </c>
      <c r="O12" s="9">
        <v>0</v>
      </c>
      <c r="P12" s="9">
        <v>354</v>
      </c>
      <c r="Q12" s="9">
        <v>-185</v>
      </c>
      <c r="R12" s="9">
        <v>-1119</v>
      </c>
      <c r="S12" s="49">
        <v>-1290</v>
      </c>
      <c r="T12" s="152">
        <v>0</v>
      </c>
      <c r="U12" s="152">
        <v>0</v>
      </c>
      <c r="V12" s="152">
        <v>0</v>
      </c>
      <c r="W12" s="152">
        <v>0</v>
      </c>
    </row>
    <row r="13" spans="1:276" ht="14.4" customHeight="1" x14ac:dyDescent="0.3">
      <c r="B13" s="40" t="s">
        <v>123</v>
      </c>
      <c r="C13" s="9"/>
      <c r="D13" s="9">
        <v>637</v>
      </c>
      <c r="E13" s="49">
        <f t="shared" si="5"/>
        <v>0</v>
      </c>
      <c r="F13" s="9"/>
      <c r="G13" s="9"/>
      <c r="H13" s="9"/>
      <c r="I13" s="9"/>
      <c r="O13" s="9"/>
      <c r="P13" s="9"/>
      <c r="Q13" s="9"/>
      <c r="S13" s="49">
        <v>0</v>
      </c>
      <c r="T13" s="152">
        <v>0</v>
      </c>
      <c r="U13" s="152">
        <v>0</v>
      </c>
      <c r="V13" s="152">
        <v>0</v>
      </c>
      <c r="W13" s="152">
        <v>0</v>
      </c>
    </row>
    <row r="14" spans="1:276" ht="14.4" customHeight="1" x14ac:dyDescent="0.3">
      <c r="B14" s="40" t="s">
        <v>124</v>
      </c>
      <c r="C14" s="9">
        <v>4347</v>
      </c>
      <c r="D14" s="9">
        <v>4133</v>
      </c>
      <c r="E14" s="49">
        <f t="shared" si="5"/>
        <v>3233</v>
      </c>
      <c r="F14" s="9">
        <v>891</v>
      </c>
      <c r="G14" s="9">
        <v>976</v>
      </c>
      <c r="H14" s="9">
        <v>716</v>
      </c>
      <c r="I14" s="9">
        <v>650</v>
      </c>
      <c r="J14" s="1">
        <v>991</v>
      </c>
      <c r="K14" s="1">
        <v>1005</v>
      </c>
      <c r="L14" s="1">
        <v>903</v>
      </c>
      <c r="M14" s="1">
        <v>1392</v>
      </c>
      <c r="N14" s="1">
        <v>1850</v>
      </c>
      <c r="O14" s="9">
        <v>1208</v>
      </c>
      <c r="P14" s="9">
        <v>661</v>
      </c>
      <c r="Q14" s="9">
        <v>661</v>
      </c>
      <c r="R14" s="1">
        <v>989</v>
      </c>
      <c r="S14" s="49">
        <v>1620</v>
      </c>
      <c r="T14" s="152">
        <v>0</v>
      </c>
      <c r="U14" s="152">
        <v>0</v>
      </c>
      <c r="V14" s="152">
        <v>0</v>
      </c>
      <c r="W14" s="152">
        <v>0</v>
      </c>
    </row>
    <row r="15" spans="1:276" ht="14.4" customHeight="1" x14ac:dyDescent="0.3">
      <c r="B15" s="40" t="s">
        <v>125</v>
      </c>
      <c r="C15" s="9"/>
      <c r="D15" s="9">
        <v>-204</v>
      </c>
      <c r="E15" s="49">
        <f t="shared" si="5"/>
        <v>-32</v>
      </c>
      <c r="F15" s="9">
        <v>2</v>
      </c>
      <c r="G15" s="9">
        <v>-4</v>
      </c>
      <c r="H15" s="9">
        <v>-9</v>
      </c>
      <c r="I15" s="9">
        <v>-21</v>
      </c>
      <c r="J15" s="1">
        <v>35</v>
      </c>
      <c r="K15" s="1">
        <v>9</v>
      </c>
      <c r="L15" s="1">
        <v>-58</v>
      </c>
      <c r="M15" s="1">
        <v>23</v>
      </c>
      <c r="N15" s="1">
        <v>70</v>
      </c>
      <c r="O15" s="9">
        <v>296</v>
      </c>
      <c r="P15" s="9">
        <v>-90</v>
      </c>
      <c r="Q15" s="9">
        <v>44</v>
      </c>
      <c r="R15" s="1">
        <v>108</v>
      </c>
      <c r="S15" s="49">
        <v>-2</v>
      </c>
      <c r="T15" s="152">
        <v>0</v>
      </c>
      <c r="U15" s="152">
        <v>0</v>
      </c>
      <c r="V15" s="152">
        <v>0</v>
      </c>
      <c r="W15" s="152">
        <v>0</v>
      </c>
    </row>
    <row r="16" spans="1:276" ht="14.4" customHeight="1" x14ac:dyDescent="0.3">
      <c r="B16" s="40" t="s">
        <v>126</v>
      </c>
      <c r="C16" s="9">
        <v>-3049</v>
      </c>
      <c r="D16" s="9">
        <v>-669</v>
      </c>
      <c r="E16" s="49">
        <f t="shared" si="5"/>
        <v>-693</v>
      </c>
      <c r="F16" s="9">
        <v>-693</v>
      </c>
      <c r="G16" s="9">
        <v>0</v>
      </c>
      <c r="H16" s="9">
        <v>0</v>
      </c>
      <c r="I16" s="9">
        <v>0</v>
      </c>
      <c r="J16" s="1">
        <v>0</v>
      </c>
      <c r="K16" s="1">
        <v>0</v>
      </c>
      <c r="L16" s="1">
        <v>0</v>
      </c>
      <c r="M16" s="1">
        <v>0</v>
      </c>
      <c r="N16" s="1">
        <v>0</v>
      </c>
      <c r="O16" s="9">
        <v>0</v>
      </c>
      <c r="P16" s="9">
        <v>0</v>
      </c>
      <c r="Q16" s="1">
        <v>0</v>
      </c>
      <c r="R16" s="1">
        <v>0</v>
      </c>
      <c r="S16" s="49">
        <v>0</v>
      </c>
      <c r="T16" s="152">
        <v>0</v>
      </c>
      <c r="U16" s="152">
        <v>0</v>
      </c>
      <c r="V16" s="152">
        <v>0</v>
      </c>
      <c r="W16" s="152">
        <v>0</v>
      </c>
    </row>
    <row r="17" spans="1:23" ht="14.4" customHeight="1" x14ac:dyDescent="0.3">
      <c r="B17" s="40" t="s">
        <v>127</v>
      </c>
      <c r="C17" s="9">
        <v>-1278</v>
      </c>
      <c r="D17" s="9">
        <v>-1327</v>
      </c>
      <c r="E17" s="49">
        <f t="shared" si="5"/>
        <v>0</v>
      </c>
      <c r="F17" s="9">
        <v>0</v>
      </c>
      <c r="G17" s="9">
        <v>0</v>
      </c>
      <c r="H17" s="9">
        <v>0</v>
      </c>
      <c r="I17" s="9">
        <v>0</v>
      </c>
      <c r="J17" s="1">
        <v>0</v>
      </c>
      <c r="K17" s="1">
        <v>0</v>
      </c>
      <c r="L17" s="1">
        <v>0</v>
      </c>
      <c r="M17" s="1">
        <v>0</v>
      </c>
      <c r="N17" s="1">
        <v>0</v>
      </c>
      <c r="O17" s="1">
        <v>0</v>
      </c>
      <c r="P17" s="1">
        <v>0</v>
      </c>
      <c r="Q17" s="1">
        <v>0</v>
      </c>
      <c r="R17" s="1">
        <v>0</v>
      </c>
      <c r="S17" s="49">
        <v>0</v>
      </c>
      <c r="T17" s="152">
        <v>0</v>
      </c>
      <c r="U17" s="152">
        <v>0</v>
      </c>
      <c r="V17" s="152">
        <v>0</v>
      </c>
      <c r="W17" s="152">
        <v>0</v>
      </c>
    </row>
    <row r="18" spans="1:23" ht="14.4" customHeight="1" x14ac:dyDescent="0.3">
      <c r="B18" s="14" t="s">
        <v>128</v>
      </c>
      <c r="C18" s="6">
        <f>C2+C4</f>
        <v>92100</v>
      </c>
      <c r="D18" s="6">
        <f t="shared" ref="D18:L18" si="6">D2+D4</f>
        <v>156212</v>
      </c>
      <c r="E18" s="25">
        <f t="shared" si="6"/>
        <v>271818</v>
      </c>
      <c r="F18" s="6">
        <f t="shared" si="6"/>
        <v>65245</v>
      </c>
      <c r="G18" s="6">
        <f t="shared" si="6"/>
        <v>85221</v>
      </c>
      <c r="H18" s="6">
        <f t="shared" si="6"/>
        <v>60672</v>
      </c>
      <c r="I18" s="6">
        <f t="shared" si="6"/>
        <v>65161</v>
      </c>
      <c r="J18" s="6">
        <f t="shared" si="6"/>
        <v>77027</v>
      </c>
      <c r="K18" s="6">
        <f t="shared" si="6"/>
        <v>74044</v>
      </c>
      <c r="L18" s="6">
        <f t="shared" si="6"/>
        <v>64822</v>
      </c>
      <c r="M18" s="6">
        <f t="shared" ref="M18:N18" si="7">M2+M4</f>
        <v>56471</v>
      </c>
      <c r="N18" s="6">
        <f t="shared" si="7"/>
        <v>54047</v>
      </c>
      <c r="O18" s="6">
        <f t="shared" ref="O18:Q18" si="8">O2+O4</f>
        <v>67032</v>
      </c>
      <c r="P18" s="6">
        <f t="shared" si="8"/>
        <v>56555</v>
      </c>
      <c r="Q18" s="6">
        <f t="shared" si="8"/>
        <v>94078</v>
      </c>
      <c r="R18" s="6">
        <f t="shared" ref="R18:S18" si="9">R2+R4</f>
        <v>128566</v>
      </c>
      <c r="S18" s="6">
        <f t="shared" si="9"/>
        <v>226820</v>
      </c>
      <c r="T18" s="6">
        <f t="shared" ref="T18:U18" si="10">T2+T4</f>
        <v>240360.24</v>
      </c>
      <c r="U18" s="6">
        <f t="shared" si="10"/>
        <v>242493.1535999999</v>
      </c>
      <c r="V18" s="6">
        <f t="shared" ref="V18:W18" si="11">V2+V4</f>
        <v>187974.12288000004</v>
      </c>
      <c r="W18" s="6">
        <f t="shared" si="11"/>
        <v>144358.89830400009</v>
      </c>
    </row>
    <row r="19" spans="1:23" ht="14.4" customHeight="1" x14ac:dyDescent="0.3">
      <c r="B19" s="40"/>
      <c r="C19" s="9"/>
      <c r="D19" s="9"/>
      <c r="E19" s="49"/>
      <c r="F19" s="9"/>
      <c r="G19" s="9"/>
      <c r="H19" s="9"/>
      <c r="I19" s="9"/>
    </row>
    <row r="20" spans="1:23" ht="14.4" customHeight="1" x14ac:dyDescent="0.3">
      <c r="B20" s="37" t="s">
        <v>44</v>
      </c>
      <c r="C20" s="4">
        <f>SUM(C21:C27)</f>
        <v>-31538</v>
      </c>
      <c r="D20" s="4">
        <f t="shared" ref="D20:L20" si="12">SUM(D21:D27)</f>
        <v>-28436</v>
      </c>
      <c r="E20" s="35">
        <f t="shared" si="12"/>
        <v>-24890</v>
      </c>
      <c r="F20" s="4">
        <f t="shared" si="12"/>
        <v>1209</v>
      </c>
      <c r="G20" s="4">
        <f t="shared" si="12"/>
        <v>1744</v>
      </c>
      <c r="H20" s="4">
        <f t="shared" si="12"/>
        <v>-4948</v>
      </c>
      <c r="I20" s="4">
        <f t="shared" si="12"/>
        <v>-22895</v>
      </c>
      <c r="J20" s="4">
        <f t="shared" si="12"/>
        <v>-7160</v>
      </c>
      <c r="K20" s="4">
        <f t="shared" si="12"/>
        <v>8815</v>
      </c>
      <c r="L20" s="4">
        <f t="shared" si="12"/>
        <v>15323</v>
      </c>
      <c r="M20" s="4">
        <f t="shared" ref="M20:S20" si="13">SUM(M21:M27)</f>
        <v>9315</v>
      </c>
      <c r="N20" s="4">
        <f t="shared" si="13"/>
        <v>5165</v>
      </c>
      <c r="O20" s="4">
        <f t="shared" si="13"/>
        <v>16545</v>
      </c>
      <c r="P20" s="4">
        <f t="shared" si="13"/>
        <v>4341</v>
      </c>
      <c r="Q20" s="4">
        <f t="shared" si="13"/>
        <v>-21110</v>
      </c>
      <c r="R20" s="4">
        <f t="shared" si="13"/>
        <v>-29830</v>
      </c>
      <c r="S20" s="35">
        <f t="shared" si="13"/>
        <v>-7285</v>
      </c>
      <c r="T20" s="4">
        <f>-(Balance!S53-Balance!R53)</f>
        <v>0</v>
      </c>
      <c r="U20" s="4">
        <f>-(Balance!T53-Balance!S53)</f>
        <v>0</v>
      </c>
      <c r="V20" s="4">
        <f>-(Balance!U53-Balance!T53)</f>
        <v>0</v>
      </c>
      <c r="W20" s="4">
        <f>-(Balance!V53-Balance!U53)</f>
        <v>0</v>
      </c>
    </row>
    <row r="21" spans="1:23" ht="14.4" customHeight="1" x14ac:dyDescent="0.3">
      <c r="B21" s="40" t="s">
        <v>105</v>
      </c>
      <c r="C21" s="9">
        <v>-301</v>
      </c>
      <c r="D21" s="9">
        <v>-28702</v>
      </c>
      <c r="E21" s="49">
        <f t="shared" ref="E21:E27" si="14">SUM(F21:I21)</f>
        <v>-16383</v>
      </c>
      <c r="F21" s="9">
        <v>4454</v>
      </c>
      <c r="G21" s="9">
        <v>-1820</v>
      </c>
      <c r="H21" s="9">
        <v>1147</v>
      </c>
      <c r="I21" s="9">
        <v>-20164</v>
      </c>
      <c r="J21" s="1">
        <v>-4713</v>
      </c>
      <c r="K21" s="1">
        <v>10206</v>
      </c>
      <c r="L21" s="1">
        <v>11802</v>
      </c>
      <c r="M21" s="1">
        <v>4838</v>
      </c>
      <c r="N21" s="1">
        <v>2517</v>
      </c>
      <c r="O21" s="1">
        <v>10655</v>
      </c>
      <c r="P21" s="1">
        <v>6153</v>
      </c>
      <c r="Q21" s="1">
        <v>-19730</v>
      </c>
      <c r="R21" s="1">
        <v>-30418</v>
      </c>
      <c r="S21" s="49">
        <v>-1771</v>
      </c>
      <c r="T21" s="169"/>
      <c r="U21" s="169"/>
      <c r="V21" s="169"/>
      <c r="W21" s="169"/>
    </row>
    <row r="22" spans="1:23" ht="14.4" customHeight="1" x14ac:dyDescent="0.3">
      <c r="B22" s="40" t="s">
        <v>106</v>
      </c>
      <c r="C22" s="9">
        <v>-356</v>
      </c>
      <c r="D22" s="9">
        <v>-1403</v>
      </c>
      <c r="E22" s="49">
        <f t="shared" si="14"/>
        <v>250</v>
      </c>
      <c r="F22" s="9">
        <v>-688</v>
      </c>
      <c r="G22" s="9">
        <v>1295</v>
      </c>
      <c r="H22" s="9">
        <v>-625</v>
      </c>
      <c r="I22" s="9">
        <v>268</v>
      </c>
      <c r="J22" s="1">
        <v>-2129</v>
      </c>
      <c r="K22" s="1">
        <v>-1373</v>
      </c>
      <c r="L22" s="1">
        <v>3203</v>
      </c>
      <c r="M22" s="1">
        <v>398</v>
      </c>
      <c r="N22" s="1">
        <v>-195</v>
      </c>
      <c r="O22" s="1">
        <v>1078</v>
      </c>
      <c r="P22" s="1">
        <v>106</v>
      </c>
      <c r="Q22" s="1">
        <v>-222</v>
      </c>
      <c r="R22" s="1">
        <v>-18</v>
      </c>
      <c r="S22" s="49">
        <v>-1124</v>
      </c>
      <c r="T22" s="169"/>
      <c r="U22" s="169"/>
      <c r="V22" s="169"/>
      <c r="W22" s="169"/>
    </row>
    <row r="23" spans="1:23" ht="14.4" customHeight="1" x14ac:dyDescent="0.3">
      <c r="B23" s="40" t="s">
        <v>107</v>
      </c>
      <c r="C23" s="9">
        <v>523</v>
      </c>
      <c r="D23" s="9">
        <v>-3538</v>
      </c>
      <c r="E23" s="49">
        <f t="shared" si="14"/>
        <v>-3009</v>
      </c>
      <c r="F23" s="9">
        <v>1109</v>
      </c>
      <c r="G23" s="9">
        <v>-847</v>
      </c>
      <c r="H23" s="9">
        <v>1264</v>
      </c>
      <c r="I23" s="9">
        <v>-4535</v>
      </c>
      <c r="J23" s="1">
        <v>5907</v>
      </c>
      <c r="K23" s="1">
        <v>-2244</v>
      </c>
      <c r="L23" s="1">
        <v>-3105</v>
      </c>
      <c r="M23" s="1">
        <v>5800</v>
      </c>
      <c r="N23" s="1">
        <v>1873</v>
      </c>
      <c r="O23" s="1">
        <v>1001</v>
      </c>
      <c r="P23" s="1">
        <v>-2100</v>
      </c>
      <c r="Q23" s="1">
        <v>-3252</v>
      </c>
      <c r="R23" s="1">
        <v>3177</v>
      </c>
      <c r="S23" s="49">
        <v>-2115</v>
      </c>
      <c r="T23" s="169"/>
      <c r="U23" s="169"/>
      <c r="V23" s="169"/>
      <c r="W23" s="169"/>
    </row>
    <row r="24" spans="1:23" ht="14.4" customHeight="1" x14ac:dyDescent="0.3">
      <c r="B24" s="40" t="s">
        <v>113</v>
      </c>
      <c r="C24" s="9">
        <v>1510</v>
      </c>
      <c r="D24" s="9">
        <v>5641</v>
      </c>
      <c r="E24" s="49">
        <f t="shared" si="14"/>
        <v>-4938</v>
      </c>
      <c r="F24" s="9">
        <v>-9932</v>
      </c>
      <c r="G24" s="9">
        <v>9506</v>
      </c>
      <c r="H24" s="9">
        <v>-2214</v>
      </c>
      <c r="I24" s="9">
        <v>-2298</v>
      </c>
      <c r="J24" s="1">
        <v>1894</v>
      </c>
      <c r="K24" s="1">
        <v>-1626</v>
      </c>
      <c r="L24" s="1">
        <v>410</v>
      </c>
      <c r="M24" s="1">
        <v>-645</v>
      </c>
      <c r="N24" s="1">
        <v>-5047</v>
      </c>
      <c r="O24" s="1">
        <v>995</v>
      </c>
      <c r="P24" s="1">
        <v>-5745</v>
      </c>
      <c r="Q24" s="1">
        <v>-1409</v>
      </c>
      <c r="R24" s="1">
        <v>7792</v>
      </c>
      <c r="S24" s="49">
        <v>-11464</v>
      </c>
      <c r="T24" s="169"/>
      <c r="U24" s="169"/>
      <c r="V24" s="169"/>
      <c r="W24" s="169"/>
    </row>
    <row r="25" spans="1:23" ht="14.4" customHeight="1" x14ac:dyDescent="0.3">
      <c r="B25" s="40" t="s">
        <v>116</v>
      </c>
      <c r="C25" s="9">
        <v>-11372</v>
      </c>
      <c r="D25" s="9">
        <v>-692</v>
      </c>
      <c r="E25" s="49">
        <f t="shared" si="14"/>
        <v>222</v>
      </c>
      <c r="F25" s="9">
        <v>920</v>
      </c>
      <c r="G25" s="9">
        <v>418</v>
      </c>
      <c r="H25" s="9">
        <v>-1116</v>
      </c>
      <c r="I25" s="9">
        <v>0</v>
      </c>
      <c r="J25" s="1">
        <v>-4394</v>
      </c>
      <c r="K25" s="1">
        <v>3247</v>
      </c>
      <c r="L25" s="1">
        <v>-535</v>
      </c>
      <c r="M25" s="1">
        <v>3427</v>
      </c>
      <c r="N25" s="1">
        <v>1362</v>
      </c>
      <c r="O25" s="1">
        <v>462</v>
      </c>
      <c r="P25" s="1">
        <v>-1253</v>
      </c>
      <c r="Q25" s="1">
        <v>4687</v>
      </c>
      <c r="R25" s="1">
        <v>-4804</v>
      </c>
      <c r="S25" s="49">
        <v>5783</v>
      </c>
      <c r="T25" s="169"/>
      <c r="U25" s="169"/>
      <c r="V25" s="169"/>
      <c r="W25" s="169"/>
    </row>
    <row r="26" spans="1:23" ht="14.4" customHeight="1" x14ac:dyDescent="0.3">
      <c r="B26" s="40" t="s">
        <v>109</v>
      </c>
      <c r="C26" s="9">
        <v>-21542</v>
      </c>
      <c r="D26" s="9">
        <v>327</v>
      </c>
      <c r="E26" s="49">
        <f t="shared" si="14"/>
        <v>-737</v>
      </c>
      <c r="F26" s="9">
        <v>5411</v>
      </c>
      <c r="G26" s="9">
        <v>-6700</v>
      </c>
      <c r="H26" s="9">
        <v>-3425</v>
      </c>
      <c r="I26" s="9">
        <v>3977</v>
      </c>
      <c r="J26" s="1">
        <v>-3625</v>
      </c>
      <c r="K26" s="1">
        <v>625</v>
      </c>
      <c r="L26" s="1">
        <v>3508</v>
      </c>
      <c r="M26" s="1">
        <v>-4389</v>
      </c>
      <c r="N26" s="1">
        <v>4655</v>
      </c>
      <c r="O26" s="1">
        <v>2354</v>
      </c>
      <c r="P26" s="1">
        <v>7180</v>
      </c>
      <c r="Q26" s="1">
        <v>-1184</v>
      </c>
      <c r="R26" s="1">
        <v>-5559</v>
      </c>
      <c r="S26" s="49">
        <v>3406</v>
      </c>
      <c r="T26" s="169"/>
      <c r="U26" s="169"/>
      <c r="V26" s="169"/>
      <c r="W26" s="169"/>
    </row>
    <row r="27" spans="1:23" ht="14.4" customHeight="1" x14ac:dyDescent="0.3">
      <c r="B27" s="40" t="s">
        <v>129</v>
      </c>
      <c r="C27" s="9"/>
      <c r="D27" s="9">
        <v>-69</v>
      </c>
      <c r="E27" s="49">
        <f t="shared" si="14"/>
        <v>-295</v>
      </c>
      <c r="F27" s="9">
        <v>-65</v>
      </c>
      <c r="G27" s="9">
        <v>-108</v>
      </c>
      <c r="H27" s="9">
        <v>21</v>
      </c>
      <c r="I27" s="9">
        <v>-143</v>
      </c>
      <c r="J27" s="1">
        <v>-100</v>
      </c>
      <c r="K27" s="1">
        <v>-20</v>
      </c>
      <c r="L27" s="1">
        <v>40</v>
      </c>
      <c r="M27" s="1">
        <v>-114</v>
      </c>
      <c r="N27" s="1">
        <v>0</v>
      </c>
      <c r="O27" s="1">
        <v>0</v>
      </c>
      <c r="P27" s="1">
        <v>0</v>
      </c>
      <c r="Q27" s="1">
        <v>0</v>
      </c>
      <c r="R27" s="1">
        <v>0</v>
      </c>
      <c r="S27" s="49">
        <v>0</v>
      </c>
      <c r="T27" s="169"/>
      <c r="U27" s="169"/>
      <c r="V27" s="169"/>
      <c r="W27" s="169"/>
    </row>
    <row r="28" spans="1:23" ht="14.4" customHeight="1" x14ac:dyDescent="0.3">
      <c r="A28" s="34" t="s">
        <v>10</v>
      </c>
      <c r="B28" s="99" t="s">
        <v>130</v>
      </c>
      <c r="C28" s="100">
        <f>C18+C20</f>
        <v>60562</v>
      </c>
      <c r="D28" s="100">
        <f t="shared" ref="D28:L28" si="15">D18+D20</f>
        <v>127776</v>
      </c>
      <c r="E28" s="100">
        <f t="shared" si="15"/>
        <v>246928</v>
      </c>
      <c r="F28" s="100">
        <f t="shared" si="15"/>
        <v>66454</v>
      </c>
      <c r="G28" s="100">
        <f t="shared" si="15"/>
        <v>86965</v>
      </c>
      <c r="H28" s="100">
        <f t="shared" si="15"/>
        <v>55724</v>
      </c>
      <c r="I28" s="100">
        <f t="shared" si="15"/>
        <v>42266</v>
      </c>
      <c r="J28" s="100">
        <f t="shared" si="15"/>
        <v>69867</v>
      </c>
      <c r="K28" s="100">
        <f t="shared" si="15"/>
        <v>82859</v>
      </c>
      <c r="L28" s="100">
        <f t="shared" si="15"/>
        <v>80145</v>
      </c>
      <c r="M28" s="100">
        <f t="shared" ref="M28:Q28" si="16">M18+M20</f>
        <v>65786</v>
      </c>
      <c r="N28" s="100">
        <f t="shared" si="16"/>
        <v>59212</v>
      </c>
      <c r="O28" s="100">
        <f t="shared" si="16"/>
        <v>83577</v>
      </c>
      <c r="P28" s="100">
        <f t="shared" si="16"/>
        <v>60896</v>
      </c>
      <c r="Q28" s="100">
        <f t="shared" si="16"/>
        <v>72968</v>
      </c>
      <c r="R28" s="100">
        <f t="shared" ref="R28:S28" si="17">R18+R20</f>
        <v>98736</v>
      </c>
      <c r="S28" s="100">
        <f t="shared" si="17"/>
        <v>219535</v>
      </c>
      <c r="T28" s="100">
        <f t="shared" ref="T28:U28" si="18">T18+T20</f>
        <v>240360.24</v>
      </c>
      <c r="U28" s="100">
        <f t="shared" si="18"/>
        <v>242493.1535999999</v>
      </c>
      <c r="V28" s="100">
        <f t="shared" ref="V28:W28" si="19">V18+V20</f>
        <v>187974.12288000004</v>
      </c>
      <c r="W28" s="100">
        <f t="shared" si="19"/>
        <v>144358.89830400009</v>
      </c>
    </row>
    <row r="29" spans="1:23" ht="14.4" customHeight="1" x14ac:dyDescent="0.3">
      <c r="C29" s="28"/>
      <c r="D29" s="28"/>
      <c r="E29" s="116"/>
      <c r="F29" s="28"/>
      <c r="G29" s="28"/>
      <c r="H29" s="28"/>
      <c r="I29" s="28"/>
    </row>
    <row r="30" spans="1:23" ht="14.4" customHeight="1" x14ac:dyDescent="0.3">
      <c r="E30" s="22"/>
    </row>
    <row r="31" spans="1:23" ht="14.4" customHeight="1" x14ac:dyDescent="0.3">
      <c r="B31" t="s">
        <v>131</v>
      </c>
      <c r="C31" s="1">
        <v>-174558</v>
      </c>
      <c r="D31" s="1">
        <v>-9902</v>
      </c>
      <c r="E31" s="49">
        <f t="shared" ref="E31:E37" si="20">SUM(F31:I31)</f>
        <v>-128082</v>
      </c>
      <c r="F31" s="1">
        <v>-14829</v>
      </c>
      <c r="G31" s="1">
        <v>-18125</v>
      </c>
      <c r="H31" s="1">
        <v>-92943</v>
      </c>
      <c r="I31" s="1">
        <v>-2185</v>
      </c>
      <c r="J31" s="1">
        <v>-3832</v>
      </c>
      <c r="K31" s="1">
        <v>-798</v>
      </c>
      <c r="L31" s="1">
        <v>-2004</v>
      </c>
      <c r="M31" s="1">
        <v>-54</v>
      </c>
      <c r="N31" s="1">
        <v>-25809</v>
      </c>
      <c r="O31" s="1">
        <v>-1146</v>
      </c>
      <c r="P31" s="1">
        <v>-12350</v>
      </c>
      <c r="Q31" s="1">
        <v>-97629</v>
      </c>
      <c r="R31" s="1">
        <v>-2849</v>
      </c>
      <c r="S31" s="49">
        <v>-7202</v>
      </c>
      <c r="T31" s="1">
        <f>-Balance!S59</f>
        <v>0</v>
      </c>
      <c r="U31" s="1">
        <f>-Balance!T59</f>
        <v>0</v>
      </c>
      <c r="V31" s="1">
        <f>-Balance!U59</f>
        <v>0</v>
      </c>
      <c r="W31" s="1">
        <f>-Balance!V59</f>
        <v>0</v>
      </c>
    </row>
    <row r="32" spans="1:23" ht="14.4" customHeight="1" x14ac:dyDescent="0.3">
      <c r="B32" t="s">
        <v>156</v>
      </c>
      <c r="C32" s="1">
        <v>0</v>
      </c>
      <c r="D32" s="1">
        <v>0</v>
      </c>
      <c r="E32" s="49">
        <v>0</v>
      </c>
      <c r="F32" s="1">
        <v>0</v>
      </c>
      <c r="G32" s="1">
        <v>0</v>
      </c>
      <c r="H32" s="1">
        <v>0</v>
      </c>
      <c r="I32" s="1">
        <v>0</v>
      </c>
      <c r="J32" s="1">
        <v>-43</v>
      </c>
      <c r="K32" s="1">
        <v>-51454</v>
      </c>
      <c r="L32" s="1">
        <v>-25840</v>
      </c>
      <c r="M32" s="1">
        <v>-12858</v>
      </c>
      <c r="O32" s="1">
        <v>-38714</v>
      </c>
      <c r="P32" s="1">
        <v>-26167</v>
      </c>
      <c r="Q32" s="1">
        <v>-107821</v>
      </c>
      <c r="R32" s="1">
        <v>-159971</v>
      </c>
      <c r="S32" s="49">
        <v>-1283</v>
      </c>
      <c r="T32" s="152">
        <v>0</v>
      </c>
      <c r="U32" s="152">
        <v>0</v>
      </c>
      <c r="V32" s="152">
        <v>0</v>
      </c>
      <c r="W32" s="152">
        <v>0</v>
      </c>
    </row>
    <row r="33" spans="1:23" ht="14.4" customHeight="1" x14ac:dyDescent="0.3">
      <c r="B33" t="s">
        <v>46</v>
      </c>
      <c r="C33" s="1">
        <v>87062</v>
      </c>
      <c r="D33" s="1">
        <v>112399</v>
      </c>
      <c r="E33" s="49">
        <f t="shared" si="20"/>
        <v>0</v>
      </c>
      <c r="F33" s="1">
        <v>0</v>
      </c>
      <c r="G33" s="1">
        <v>0</v>
      </c>
      <c r="H33" s="1">
        <v>0</v>
      </c>
      <c r="I33" s="1">
        <v>0</v>
      </c>
      <c r="J33" s="1">
        <v>0</v>
      </c>
      <c r="K33" s="1">
        <v>0</v>
      </c>
      <c r="L33" s="1">
        <v>0</v>
      </c>
      <c r="M33" s="1">
        <v>0</v>
      </c>
      <c r="N33" s="1">
        <v>42489</v>
      </c>
      <c r="O33" s="1">
        <v>50942</v>
      </c>
      <c r="P33" s="1">
        <v>50090</v>
      </c>
      <c r="Q33" s="1">
        <v>0</v>
      </c>
      <c r="R33" s="1">
        <v>101009</v>
      </c>
      <c r="S33" s="49">
        <v>-522</v>
      </c>
      <c r="T33" s="152">
        <v>51500</v>
      </c>
      <c r="U33" s="101">
        <v>0</v>
      </c>
      <c r="V33" s="101">
        <v>0</v>
      </c>
      <c r="W33" s="101">
        <v>0</v>
      </c>
    </row>
    <row r="34" spans="1:23" ht="14.4" customHeight="1" x14ac:dyDescent="0.3">
      <c r="B34" t="s">
        <v>132</v>
      </c>
      <c r="D34" s="1">
        <v>-2</v>
      </c>
      <c r="E34" s="49">
        <f t="shared" si="20"/>
        <v>0</v>
      </c>
      <c r="F34" s="1">
        <v>0</v>
      </c>
      <c r="G34" s="1">
        <v>0</v>
      </c>
      <c r="H34" s="1">
        <v>0</v>
      </c>
      <c r="I34" s="1">
        <v>0</v>
      </c>
      <c r="J34" s="1">
        <v>0</v>
      </c>
      <c r="K34" s="1">
        <v>0</v>
      </c>
      <c r="L34" s="1">
        <v>0</v>
      </c>
      <c r="M34" s="1">
        <v>0</v>
      </c>
      <c r="N34" s="1">
        <v>0</v>
      </c>
      <c r="O34" s="1">
        <v>0</v>
      </c>
      <c r="P34" s="1">
        <v>0</v>
      </c>
      <c r="Q34" s="1">
        <v>0</v>
      </c>
      <c r="R34" s="1">
        <v>0</v>
      </c>
      <c r="S34" s="49">
        <v>0</v>
      </c>
      <c r="T34" s="152">
        <v>0</v>
      </c>
      <c r="U34" s="152">
        <v>0</v>
      </c>
      <c r="V34" s="152">
        <v>0</v>
      </c>
      <c r="W34" s="152">
        <v>0</v>
      </c>
    </row>
    <row r="35" spans="1:23" ht="14.4" customHeight="1" x14ac:dyDescent="0.3">
      <c r="B35" t="s">
        <v>133</v>
      </c>
      <c r="D35" s="1">
        <v>8267</v>
      </c>
      <c r="E35" s="49">
        <f t="shared" si="20"/>
        <v>0</v>
      </c>
      <c r="F35" s="1">
        <v>0</v>
      </c>
      <c r="G35" s="1">
        <v>0</v>
      </c>
      <c r="H35" s="1">
        <v>0</v>
      </c>
      <c r="I35" s="1">
        <v>0</v>
      </c>
      <c r="J35" s="1">
        <v>0</v>
      </c>
      <c r="K35" s="1">
        <v>0</v>
      </c>
      <c r="L35" s="1">
        <v>0</v>
      </c>
      <c r="M35" s="1">
        <v>0</v>
      </c>
      <c r="N35" s="1">
        <v>0</v>
      </c>
      <c r="O35" s="1">
        <v>0</v>
      </c>
      <c r="P35" s="1">
        <v>0</v>
      </c>
      <c r="Q35" s="1">
        <v>0</v>
      </c>
      <c r="R35" s="1">
        <v>0</v>
      </c>
      <c r="S35" s="49">
        <v>0</v>
      </c>
      <c r="T35" s="152">
        <v>0</v>
      </c>
      <c r="U35" s="152">
        <v>0</v>
      </c>
      <c r="V35" s="152">
        <v>0</v>
      </c>
      <c r="W35" s="152">
        <v>0</v>
      </c>
    </row>
    <row r="36" spans="1:23" ht="14.4" customHeight="1" x14ac:dyDescent="0.3">
      <c r="B36" t="s">
        <v>134</v>
      </c>
      <c r="C36" s="1">
        <v>1031</v>
      </c>
      <c r="D36" s="1">
        <v>0</v>
      </c>
      <c r="E36" s="49">
        <f t="shared" si="20"/>
        <v>0</v>
      </c>
      <c r="F36" s="1">
        <v>0</v>
      </c>
      <c r="G36" s="1">
        <v>0</v>
      </c>
      <c r="H36" s="1">
        <v>0</v>
      </c>
      <c r="I36" s="1">
        <v>0</v>
      </c>
      <c r="J36" s="1">
        <v>0</v>
      </c>
      <c r="K36" s="1">
        <v>0</v>
      </c>
      <c r="L36" s="1">
        <v>0</v>
      </c>
      <c r="M36" s="1">
        <v>0</v>
      </c>
      <c r="N36" s="1">
        <v>0</v>
      </c>
      <c r="O36" s="1">
        <v>0</v>
      </c>
      <c r="P36" s="1">
        <v>0</v>
      </c>
      <c r="Q36" s="1">
        <v>0</v>
      </c>
      <c r="R36" s="1">
        <v>0</v>
      </c>
      <c r="S36" s="49">
        <v>0</v>
      </c>
      <c r="T36" s="152">
        <v>0</v>
      </c>
      <c r="U36" s="152">
        <v>0</v>
      </c>
      <c r="V36" s="152">
        <v>0</v>
      </c>
      <c r="W36" s="152">
        <v>0</v>
      </c>
    </row>
    <row r="37" spans="1:23" ht="14.4" customHeight="1" x14ac:dyDescent="0.3">
      <c r="B37" t="s">
        <v>135</v>
      </c>
      <c r="C37" s="1">
        <v>-48</v>
      </c>
      <c r="D37" s="1">
        <v>-243</v>
      </c>
      <c r="E37" s="49">
        <f t="shared" si="20"/>
        <v>-151</v>
      </c>
      <c r="F37" s="1">
        <v>-35</v>
      </c>
      <c r="G37" s="1">
        <v>-10</v>
      </c>
      <c r="H37" s="1">
        <v>-89</v>
      </c>
      <c r="I37" s="1">
        <v>-17</v>
      </c>
      <c r="J37" s="1">
        <v>-3</v>
      </c>
      <c r="K37" s="1">
        <v>-19</v>
      </c>
      <c r="L37" s="1">
        <v>-47</v>
      </c>
      <c r="M37" s="1">
        <v>-80</v>
      </c>
      <c r="N37" s="1">
        <v>-5</v>
      </c>
      <c r="O37" s="1">
        <v>-18</v>
      </c>
      <c r="P37" s="1">
        <v>-65</v>
      </c>
      <c r="Q37" s="1">
        <v>-218</v>
      </c>
      <c r="R37" s="1">
        <v>-166</v>
      </c>
      <c r="S37" s="49">
        <v>-158</v>
      </c>
      <c r="T37" s="152">
        <v>0</v>
      </c>
      <c r="U37" s="152">
        <v>0</v>
      </c>
      <c r="V37" s="152">
        <v>0</v>
      </c>
      <c r="W37" s="152">
        <v>0</v>
      </c>
    </row>
    <row r="38" spans="1:23" ht="14.4" customHeight="1" x14ac:dyDescent="0.3">
      <c r="A38" s="34" t="s">
        <v>10</v>
      </c>
      <c r="B38" s="100" t="s">
        <v>21</v>
      </c>
      <c r="C38" s="100">
        <f>SUM(C31:C37)</f>
        <v>-86513</v>
      </c>
      <c r="D38" s="100">
        <f>SUM(D31:D37)</f>
        <v>110519</v>
      </c>
      <c r="E38" s="100">
        <f>SUM(E31:E37)</f>
        <v>-128233</v>
      </c>
      <c r="F38" s="100">
        <f t="shared" ref="F38:L38" si="21">SUM(F31:F37)</f>
        <v>-14864</v>
      </c>
      <c r="G38" s="100">
        <f t="shared" si="21"/>
        <v>-18135</v>
      </c>
      <c r="H38" s="100">
        <f t="shared" si="21"/>
        <v>-93032</v>
      </c>
      <c r="I38" s="100">
        <f t="shared" si="21"/>
        <v>-2202</v>
      </c>
      <c r="J38" s="100">
        <f t="shared" si="21"/>
        <v>-3878</v>
      </c>
      <c r="K38" s="100">
        <f t="shared" si="21"/>
        <v>-52271</v>
      </c>
      <c r="L38" s="100">
        <f t="shared" si="21"/>
        <v>-27891</v>
      </c>
      <c r="M38" s="100">
        <f t="shared" ref="M38:N38" si="22">SUM(M31:M37)</f>
        <v>-12992</v>
      </c>
      <c r="N38" s="100">
        <f t="shared" si="22"/>
        <v>16675</v>
      </c>
      <c r="O38" s="100">
        <f t="shared" ref="O38:Q38" si="23">SUM(O31:O37)</f>
        <v>11064</v>
      </c>
      <c r="P38" s="100">
        <f t="shared" si="23"/>
        <v>11508</v>
      </c>
      <c r="Q38" s="100">
        <f t="shared" si="23"/>
        <v>-205668</v>
      </c>
      <c r="R38" s="100">
        <f t="shared" ref="R38:S38" si="24">SUM(R31:R37)</f>
        <v>-61977</v>
      </c>
      <c r="S38" s="100">
        <f t="shared" si="24"/>
        <v>-9165</v>
      </c>
      <c r="T38" s="100">
        <f t="shared" ref="T38:U38" si="25">SUM(T31:T37)</f>
        <v>51500</v>
      </c>
      <c r="U38" s="100">
        <f t="shared" si="25"/>
        <v>0</v>
      </c>
      <c r="V38" s="100">
        <f t="shared" ref="V38:W38" si="26">SUM(V31:V37)</f>
        <v>0</v>
      </c>
      <c r="W38" s="100">
        <f t="shared" si="26"/>
        <v>0</v>
      </c>
    </row>
    <row r="39" spans="1:23" ht="14.4" customHeight="1" x14ac:dyDescent="0.3">
      <c r="E39" s="22"/>
    </row>
    <row r="40" spans="1:23" ht="14.4" customHeight="1" x14ac:dyDescent="0.3">
      <c r="E40" s="22"/>
    </row>
    <row r="41" spans="1:23" ht="14.4" customHeight="1" x14ac:dyDescent="0.3">
      <c r="B41" t="s">
        <v>47</v>
      </c>
      <c r="C41" s="1">
        <v>-22083</v>
      </c>
      <c r="D41" s="1">
        <v>-19678</v>
      </c>
      <c r="E41" s="22">
        <f t="shared" ref="E41:E53" si="27">SUM(F41:I41)</f>
        <v>-186673</v>
      </c>
      <c r="F41" s="1">
        <v>-61935</v>
      </c>
      <c r="G41" s="1">
        <v>-37487</v>
      </c>
      <c r="H41" s="1">
        <v>-56661</v>
      </c>
      <c r="I41" s="1">
        <v>-30590</v>
      </c>
      <c r="J41" s="1">
        <v>-35492</v>
      </c>
      <c r="K41" s="1">
        <v>-46786</v>
      </c>
      <c r="L41" s="1">
        <v>-43595</v>
      </c>
      <c r="M41" s="1">
        <v>-35522</v>
      </c>
      <c r="N41" s="1">
        <v>-27286</v>
      </c>
      <c r="O41" s="1">
        <v>-24091</v>
      </c>
      <c r="P41" s="1">
        <f>-(0.24*('P&amp;L'!P38/1000))</f>
        <v>-38591.857680000001</v>
      </c>
      <c r="Q41" s="1">
        <f>-(0.18*('P&amp;L'!Q38/1000))</f>
        <v>-28943.893260000001</v>
      </c>
      <c r="R41" s="1">
        <v>-66027</v>
      </c>
      <c r="S41" s="49">
        <v>-103067</v>
      </c>
      <c r="T41" s="152">
        <f>-(1.22*('P&amp;L'!T38/1000))</f>
        <v>-196454.37959999999</v>
      </c>
      <c r="U41" s="152">
        <f>-('P&amp;L'!T45*('P&amp;L'!U38/1000))</f>
        <v>-212362.58547416722</v>
      </c>
      <c r="V41" s="152">
        <f>-('P&amp;L'!U45*('P&amp;L'!V38/1000))</f>
        <v>-214493.01459502705</v>
      </c>
      <c r="W41" s="152">
        <f>-('P&amp;L'!V45*('P&amp;L'!W38/1000))</f>
        <v>-160037.48921090292</v>
      </c>
    </row>
    <row r="42" spans="1:23" ht="14.4" customHeight="1" x14ac:dyDescent="0.3">
      <c r="B42" t="s">
        <v>168</v>
      </c>
      <c r="C42" s="1">
        <v>0</v>
      </c>
      <c r="D42" s="1">
        <v>0</v>
      </c>
      <c r="E42" s="22">
        <v>0</v>
      </c>
      <c r="F42" s="1">
        <v>0</v>
      </c>
      <c r="G42" s="1">
        <v>0</v>
      </c>
      <c r="H42" s="1">
        <v>0</v>
      </c>
      <c r="I42" s="1">
        <v>0</v>
      </c>
      <c r="J42" s="1">
        <v>0</v>
      </c>
      <c r="K42" s="1">
        <v>0</v>
      </c>
      <c r="L42" s="1">
        <v>0</v>
      </c>
      <c r="M42" s="1">
        <v>0</v>
      </c>
      <c r="N42" s="1">
        <v>0</v>
      </c>
      <c r="O42" s="1">
        <v>-6131</v>
      </c>
      <c r="P42" s="1">
        <v>0</v>
      </c>
      <c r="S42" s="49">
        <v>0</v>
      </c>
      <c r="T42" s="152">
        <v>0</v>
      </c>
      <c r="U42" s="152">
        <v>0</v>
      </c>
      <c r="V42" s="152">
        <v>0</v>
      </c>
      <c r="W42" s="152">
        <v>0</v>
      </c>
    </row>
    <row r="43" spans="1:23" ht="14.4" customHeight="1" x14ac:dyDescent="0.3">
      <c r="B43" t="s">
        <v>136</v>
      </c>
      <c r="C43" s="1">
        <v>0</v>
      </c>
      <c r="D43" s="1">
        <v>0</v>
      </c>
      <c r="E43" s="22">
        <f t="shared" si="27"/>
        <v>-590</v>
      </c>
      <c r="G43" s="1">
        <v>-590</v>
      </c>
      <c r="I43" s="1">
        <v>0</v>
      </c>
      <c r="P43" s="1">
        <v>0</v>
      </c>
      <c r="S43" s="49">
        <v>0</v>
      </c>
      <c r="T43" s="152">
        <v>0</v>
      </c>
      <c r="U43" s="152">
        <v>0</v>
      </c>
      <c r="V43" s="152">
        <v>0</v>
      </c>
      <c r="W43" s="152">
        <v>0</v>
      </c>
    </row>
    <row r="44" spans="1:23" ht="14.4" customHeight="1" x14ac:dyDescent="0.3">
      <c r="B44" t="s">
        <v>137</v>
      </c>
      <c r="C44" s="1">
        <v>-611</v>
      </c>
      <c r="D44" s="1">
        <v>-1089</v>
      </c>
      <c r="E44" s="22">
        <f t="shared" si="27"/>
        <v>-1424</v>
      </c>
      <c r="F44" s="1">
        <v>-386</v>
      </c>
      <c r="G44" s="1">
        <v>-350</v>
      </c>
      <c r="H44" s="1">
        <v>-346</v>
      </c>
      <c r="I44" s="1">
        <v>-342</v>
      </c>
      <c r="J44" s="1">
        <v>-340</v>
      </c>
      <c r="K44" s="1">
        <v>-340</v>
      </c>
      <c r="L44" s="1">
        <v>-354</v>
      </c>
      <c r="M44" s="1">
        <v>-357</v>
      </c>
      <c r="N44" s="1">
        <v>-353</v>
      </c>
      <c r="O44" s="1">
        <v>-351</v>
      </c>
      <c r="P44" s="1">
        <v>-364</v>
      </c>
      <c r="Q44" s="1">
        <v>-338</v>
      </c>
      <c r="R44" s="1">
        <v>-340</v>
      </c>
      <c r="S44" s="49">
        <v>-306</v>
      </c>
      <c r="T44" s="152">
        <v>0</v>
      </c>
      <c r="U44" s="152">
        <v>0</v>
      </c>
      <c r="V44" s="152">
        <v>0</v>
      </c>
      <c r="W44" s="152">
        <v>0</v>
      </c>
    </row>
    <row r="45" spans="1:23" ht="14.4" customHeight="1" x14ac:dyDescent="0.3">
      <c r="B45" t="s">
        <v>138</v>
      </c>
      <c r="C45" s="1">
        <v>355840</v>
      </c>
      <c r="D45" s="1">
        <v>4008</v>
      </c>
      <c r="E45" s="22">
        <f t="shared" si="27"/>
        <v>339633</v>
      </c>
      <c r="F45" s="1">
        <v>216399</v>
      </c>
      <c r="G45" s="1">
        <v>-208</v>
      </c>
      <c r="H45" s="1">
        <v>99492</v>
      </c>
      <c r="I45" s="1">
        <v>23950</v>
      </c>
      <c r="J45" s="1">
        <v>49999</v>
      </c>
      <c r="K45" s="1">
        <v>25000</v>
      </c>
      <c r="L45" s="1">
        <v>0</v>
      </c>
      <c r="M45" s="1">
        <v>10000</v>
      </c>
      <c r="N45" s="1">
        <v>10000</v>
      </c>
      <c r="O45" s="1">
        <v>54663</v>
      </c>
      <c r="P45" s="1">
        <v>0</v>
      </c>
      <c r="Q45" s="1">
        <v>233360</v>
      </c>
      <c r="R45" s="1">
        <v>316462</v>
      </c>
      <c r="S45" s="49">
        <v>-22</v>
      </c>
      <c r="T45" s="152">
        <v>0</v>
      </c>
      <c r="U45" s="152">
        <v>0</v>
      </c>
      <c r="V45" s="152">
        <v>0</v>
      </c>
      <c r="W45" s="152">
        <v>0</v>
      </c>
    </row>
    <row r="46" spans="1:23" ht="14.4" customHeight="1" x14ac:dyDescent="0.3">
      <c r="B46" t="s">
        <v>139</v>
      </c>
      <c r="C46" s="1">
        <v>-32178</v>
      </c>
      <c r="D46" s="1">
        <v>-24758</v>
      </c>
      <c r="E46" s="22">
        <f t="shared" si="27"/>
        <v>-18808</v>
      </c>
      <c r="F46" s="1">
        <v>0</v>
      </c>
      <c r="G46" s="1">
        <v>-8866</v>
      </c>
      <c r="H46" s="1">
        <v>-9942</v>
      </c>
      <c r="M46" s="1">
        <v>-13196</v>
      </c>
      <c r="P46" s="1">
        <v>0</v>
      </c>
      <c r="S46" s="49">
        <v>0</v>
      </c>
      <c r="T46" s="152">
        <v>0</v>
      </c>
      <c r="U46" s="152">
        <v>0</v>
      </c>
      <c r="V46" s="152">
        <v>0</v>
      </c>
      <c r="W46" s="152">
        <v>0</v>
      </c>
    </row>
    <row r="47" spans="1:23" ht="14.4" customHeight="1" x14ac:dyDescent="0.3">
      <c r="B47" t="s">
        <v>140</v>
      </c>
      <c r="C47" s="1">
        <v>0</v>
      </c>
      <c r="D47" s="1">
        <v>0</v>
      </c>
      <c r="E47" s="22">
        <f t="shared" si="27"/>
        <v>0</v>
      </c>
      <c r="G47" s="1">
        <v>0</v>
      </c>
      <c r="H47" s="1">
        <v>0</v>
      </c>
      <c r="I47" s="1">
        <v>0</v>
      </c>
      <c r="J47" s="1">
        <v>0</v>
      </c>
      <c r="K47" s="1">
        <v>0</v>
      </c>
      <c r="L47" s="1">
        <v>0</v>
      </c>
      <c r="M47" s="1">
        <v>0</v>
      </c>
      <c r="N47" s="1">
        <v>0</v>
      </c>
      <c r="O47" s="1">
        <v>0</v>
      </c>
      <c r="P47" s="1">
        <v>0</v>
      </c>
      <c r="S47" s="49">
        <v>0</v>
      </c>
      <c r="T47" s="152">
        <v>0</v>
      </c>
      <c r="U47" s="152">
        <v>0</v>
      </c>
      <c r="V47" s="152">
        <v>0</v>
      </c>
      <c r="W47" s="152">
        <v>0</v>
      </c>
    </row>
    <row r="48" spans="1:23" ht="14.4" customHeight="1" x14ac:dyDescent="0.3">
      <c r="B48" t="s">
        <v>141</v>
      </c>
      <c r="C48" s="1">
        <v>0</v>
      </c>
      <c r="D48" s="1">
        <v>0</v>
      </c>
      <c r="E48" s="22">
        <f t="shared" si="27"/>
        <v>-4832</v>
      </c>
      <c r="F48" s="1">
        <v>3256</v>
      </c>
      <c r="G48" s="1">
        <v>-8088</v>
      </c>
      <c r="H48" s="1">
        <v>0</v>
      </c>
      <c r="I48" s="1">
        <v>0</v>
      </c>
      <c r="J48" s="1">
        <v>0</v>
      </c>
      <c r="K48" s="1">
        <v>0</v>
      </c>
      <c r="L48" s="1">
        <v>0</v>
      </c>
      <c r="M48" s="1">
        <v>0</v>
      </c>
      <c r="N48" s="1">
        <v>0</v>
      </c>
      <c r="O48" s="1">
        <v>0</v>
      </c>
      <c r="P48" s="1">
        <v>0</v>
      </c>
      <c r="S48" s="49">
        <v>0</v>
      </c>
      <c r="T48" s="152">
        <v>0</v>
      </c>
      <c r="U48" s="152">
        <v>0</v>
      </c>
      <c r="V48" s="152">
        <v>0</v>
      </c>
      <c r="W48" s="152">
        <v>0</v>
      </c>
    </row>
    <row r="49" spans="1:23" ht="14.4" customHeight="1" x14ac:dyDescent="0.3">
      <c r="B49" t="s">
        <v>142</v>
      </c>
      <c r="C49" s="1">
        <v>-283000</v>
      </c>
      <c r="D49" s="1">
        <v>-9454</v>
      </c>
      <c r="E49" s="22">
        <f t="shared" si="27"/>
        <v>-16338</v>
      </c>
      <c r="F49" s="1">
        <v>-625</v>
      </c>
      <c r="G49" s="1">
        <v>0</v>
      </c>
      <c r="H49" s="1">
        <v>-6875</v>
      </c>
      <c r="I49" s="1">
        <v>-8838</v>
      </c>
      <c r="J49" s="1">
        <v>-7625</v>
      </c>
      <c r="K49" s="1">
        <v>-8838</v>
      </c>
      <c r="L49" s="1">
        <v>-7625</v>
      </c>
      <c r="M49" s="1">
        <v>-8838</v>
      </c>
      <c r="N49" s="1">
        <v>-13554</v>
      </c>
      <c r="O49" s="1">
        <v>-14008</v>
      </c>
      <c r="P49" s="1">
        <v>-12746</v>
      </c>
      <c r="Q49" s="1">
        <v>-9566</v>
      </c>
      <c r="R49" s="1">
        <v>-8941</v>
      </c>
      <c r="S49" s="49">
        <v>-15531</v>
      </c>
      <c r="T49" s="22">
        <f>Balance!S45-Balance!R45</f>
        <v>-11358</v>
      </c>
      <c r="U49" s="22">
        <f>Balance!T45-Balance!S45</f>
        <v>-11358</v>
      </c>
      <c r="V49" s="22">
        <f>Balance!U45-Balance!T45</f>
        <v>-11358</v>
      </c>
      <c r="W49" s="22">
        <f>Balance!V45-Balance!U45</f>
        <v>-11358</v>
      </c>
    </row>
    <row r="50" spans="1:23" ht="14.4" customHeight="1" x14ac:dyDescent="0.3">
      <c r="B50" t="s">
        <v>143</v>
      </c>
      <c r="C50" s="1">
        <v>0</v>
      </c>
      <c r="D50" s="1">
        <v>-96840</v>
      </c>
      <c r="E50" s="22">
        <f t="shared" si="27"/>
        <v>-68715</v>
      </c>
      <c r="F50" s="1">
        <v>0</v>
      </c>
      <c r="G50" s="1">
        <v>0</v>
      </c>
      <c r="H50" s="1">
        <v>-45000</v>
      </c>
      <c r="I50" s="1">
        <v>-23715</v>
      </c>
      <c r="J50" s="1">
        <v>-74000</v>
      </c>
      <c r="K50" s="1">
        <v>0</v>
      </c>
      <c r="L50" s="1">
        <v>0</v>
      </c>
      <c r="M50" s="1">
        <v>0</v>
      </c>
      <c r="N50" s="1">
        <v>-42400</v>
      </c>
      <c r="O50" s="1">
        <v>-65875</v>
      </c>
      <c r="P50" s="1">
        <v>-22055</v>
      </c>
      <c r="Q50" s="1">
        <v>-64000</v>
      </c>
      <c r="R50" s="1">
        <v>-225000</v>
      </c>
      <c r="S50" s="49">
        <v>-56000</v>
      </c>
      <c r="T50" s="152">
        <v>0</v>
      </c>
      <c r="U50" s="152">
        <v>0</v>
      </c>
      <c r="V50" s="152">
        <v>0</v>
      </c>
      <c r="W50" s="152">
        <v>0</v>
      </c>
    </row>
    <row r="51" spans="1:23" ht="14.4" customHeight="1" x14ac:dyDescent="0.3">
      <c r="B51" t="s">
        <v>144</v>
      </c>
      <c r="C51" s="1">
        <v>0</v>
      </c>
      <c r="D51" s="1">
        <v>0</v>
      </c>
      <c r="E51" s="22">
        <f t="shared" si="27"/>
        <v>-216761</v>
      </c>
      <c r="F51" s="1">
        <v>-216761</v>
      </c>
      <c r="G51" s="1">
        <v>0</v>
      </c>
      <c r="H51" s="1">
        <v>0</v>
      </c>
      <c r="I51" s="1">
        <v>0</v>
      </c>
      <c r="J51" s="1">
        <v>0</v>
      </c>
      <c r="K51" s="1">
        <v>0</v>
      </c>
      <c r="L51" s="1">
        <v>0</v>
      </c>
      <c r="M51" s="1">
        <v>0</v>
      </c>
      <c r="N51" s="1">
        <v>0</v>
      </c>
      <c r="O51" s="1">
        <v>-25480</v>
      </c>
      <c r="P51" s="1">
        <v>0</v>
      </c>
      <c r="S51" s="49">
        <v>0</v>
      </c>
      <c r="T51" s="152">
        <v>0</v>
      </c>
      <c r="U51" s="152">
        <v>0</v>
      </c>
      <c r="V51" s="152">
        <v>0</v>
      </c>
      <c r="W51" s="152">
        <v>0</v>
      </c>
    </row>
    <row r="52" spans="1:23" ht="14.4" customHeight="1" x14ac:dyDescent="0.3">
      <c r="B52" t="s">
        <v>145</v>
      </c>
      <c r="C52" s="1">
        <v>0</v>
      </c>
      <c r="D52" s="1">
        <v>-25531</v>
      </c>
      <c r="E52" s="22">
        <f t="shared" si="27"/>
        <v>0</v>
      </c>
      <c r="F52" s="1">
        <v>0</v>
      </c>
      <c r="G52" s="1">
        <v>0</v>
      </c>
      <c r="H52" s="1">
        <v>0</v>
      </c>
      <c r="I52" s="1">
        <v>0</v>
      </c>
      <c r="J52" s="1">
        <v>0</v>
      </c>
      <c r="K52" s="1">
        <v>0</v>
      </c>
      <c r="L52" s="1">
        <v>0</v>
      </c>
      <c r="M52" s="1">
        <v>0</v>
      </c>
      <c r="N52" s="1">
        <v>0</v>
      </c>
      <c r="O52" s="1">
        <v>-11382</v>
      </c>
      <c r="P52" s="1">
        <v>0</v>
      </c>
      <c r="R52" s="1">
        <v>-5625</v>
      </c>
      <c r="S52" s="49">
        <v>0</v>
      </c>
      <c r="T52" s="152">
        <v>0</v>
      </c>
      <c r="U52" s="152">
        <v>0</v>
      </c>
      <c r="V52" s="152">
        <v>0</v>
      </c>
      <c r="W52" s="152">
        <v>0</v>
      </c>
    </row>
    <row r="53" spans="1:23" ht="14.4" customHeight="1" x14ac:dyDescent="0.3">
      <c r="B53" t="s">
        <v>146</v>
      </c>
      <c r="C53" s="1">
        <v>0</v>
      </c>
      <c r="D53" s="1">
        <v>0</v>
      </c>
      <c r="E53" s="22">
        <f t="shared" si="27"/>
        <v>0</v>
      </c>
      <c r="F53" s="1">
        <v>0</v>
      </c>
      <c r="G53" s="1">
        <v>0</v>
      </c>
      <c r="H53" s="1">
        <v>0</v>
      </c>
      <c r="I53" s="1">
        <v>0</v>
      </c>
      <c r="J53" s="1">
        <v>0</v>
      </c>
      <c r="K53" s="1">
        <v>0</v>
      </c>
      <c r="L53" s="1">
        <v>0</v>
      </c>
      <c r="M53" s="1">
        <v>0</v>
      </c>
      <c r="N53" s="1">
        <v>0</v>
      </c>
      <c r="O53" s="1">
        <v>0</v>
      </c>
      <c r="P53" s="1">
        <v>0</v>
      </c>
      <c r="Q53" s="1">
        <v>0</v>
      </c>
      <c r="R53" s="1">
        <v>0</v>
      </c>
      <c r="S53" s="49">
        <v>0</v>
      </c>
      <c r="T53" s="152">
        <v>0</v>
      </c>
      <c r="U53" s="152">
        <v>0</v>
      </c>
      <c r="V53" s="152">
        <v>0</v>
      </c>
      <c r="W53" s="152">
        <v>0</v>
      </c>
    </row>
    <row r="54" spans="1:23" ht="14.4" customHeight="1" x14ac:dyDescent="0.3">
      <c r="A54" s="34" t="s">
        <v>10</v>
      </c>
      <c r="B54" s="100" t="s">
        <v>22</v>
      </c>
      <c r="C54" s="100">
        <f>SUM(C41:C53)</f>
        <v>17968</v>
      </c>
      <c r="D54" s="100">
        <f>SUM(D41:D53)</f>
        <v>-173342</v>
      </c>
      <c r="E54" s="100">
        <f>SUM(E41:E53)</f>
        <v>-174508</v>
      </c>
      <c r="F54" s="100">
        <f t="shared" ref="F54:L54" si="28">SUM(F41:F53)</f>
        <v>-60052</v>
      </c>
      <c r="G54" s="100">
        <f t="shared" si="28"/>
        <v>-55589</v>
      </c>
      <c r="H54" s="100">
        <f t="shared" si="28"/>
        <v>-19332</v>
      </c>
      <c r="I54" s="100">
        <f t="shared" si="28"/>
        <v>-39535</v>
      </c>
      <c r="J54" s="100">
        <f t="shared" si="28"/>
        <v>-67458</v>
      </c>
      <c r="K54" s="100">
        <f t="shared" si="28"/>
        <v>-30964</v>
      </c>
      <c r="L54" s="100">
        <f t="shared" si="28"/>
        <v>-51574</v>
      </c>
      <c r="M54" s="100">
        <f t="shared" ref="M54:N54" si="29">SUM(M41:M53)</f>
        <v>-47913</v>
      </c>
      <c r="N54" s="100">
        <f t="shared" si="29"/>
        <v>-73593</v>
      </c>
      <c r="O54" s="100">
        <f t="shared" ref="O54:Q54" si="30">SUM(O41:O53)</f>
        <v>-92655</v>
      </c>
      <c r="P54" s="100">
        <f t="shared" si="30"/>
        <v>-73756.857680000001</v>
      </c>
      <c r="Q54" s="100">
        <f t="shared" si="30"/>
        <v>130512.10673999999</v>
      </c>
      <c r="R54" s="100">
        <f t="shared" ref="R54:S54" si="31">SUM(R41:R53)</f>
        <v>10529</v>
      </c>
      <c r="S54" s="100">
        <f t="shared" si="31"/>
        <v>-174926</v>
      </c>
      <c r="T54" s="100">
        <f t="shared" ref="T54:U54" si="32">SUM(T41:T53)</f>
        <v>-207812.37959999999</v>
      </c>
      <c r="U54" s="100">
        <f t="shared" si="32"/>
        <v>-223720.58547416722</v>
      </c>
      <c r="V54" s="100">
        <f t="shared" ref="V54:W54" si="33">SUM(V41:V53)</f>
        <v>-225851.01459502705</v>
      </c>
      <c r="W54" s="100">
        <f t="shared" si="33"/>
        <v>-171395.48921090292</v>
      </c>
    </row>
    <row r="55" spans="1:23" ht="14.4" customHeight="1" x14ac:dyDescent="0.3">
      <c r="E55" s="22"/>
    </row>
    <row r="56" spans="1:23" ht="14.4" customHeight="1" x14ac:dyDescent="0.3">
      <c r="B56" s="4" t="s">
        <v>23</v>
      </c>
      <c r="C56" s="4">
        <f t="shared" ref="C56:V56" si="34">C28+C38+C54</f>
        <v>-7983</v>
      </c>
      <c r="D56" s="4">
        <f t="shared" si="34"/>
        <v>64953</v>
      </c>
      <c r="E56" s="35">
        <f t="shared" si="34"/>
        <v>-55813</v>
      </c>
      <c r="F56" s="4">
        <f t="shared" si="34"/>
        <v>-8462</v>
      </c>
      <c r="G56" s="4">
        <f t="shared" si="34"/>
        <v>13241</v>
      </c>
      <c r="H56" s="4">
        <f t="shared" si="34"/>
        <v>-56640</v>
      </c>
      <c r="I56" s="4">
        <f t="shared" si="34"/>
        <v>529</v>
      </c>
      <c r="J56" s="4">
        <f t="shared" si="34"/>
        <v>-1469</v>
      </c>
      <c r="K56" s="4">
        <f t="shared" si="34"/>
        <v>-376</v>
      </c>
      <c r="L56" s="4">
        <f t="shared" si="34"/>
        <v>680</v>
      </c>
      <c r="M56" s="4">
        <f t="shared" si="34"/>
        <v>4881</v>
      </c>
      <c r="N56" s="4">
        <f t="shared" si="34"/>
        <v>2294</v>
      </c>
      <c r="O56" s="4">
        <f t="shared" si="34"/>
        <v>1986</v>
      </c>
      <c r="P56" s="4">
        <f t="shared" si="34"/>
        <v>-1352.857680000001</v>
      </c>
      <c r="Q56" s="4">
        <f t="shared" si="34"/>
        <v>-2187.8932600000117</v>
      </c>
      <c r="R56" s="4">
        <f t="shared" si="34"/>
        <v>47288</v>
      </c>
      <c r="S56" s="4">
        <f t="shared" si="34"/>
        <v>35444</v>
      </c>
      <c r="T56" s="4">
        <f t="shared" si="34"/>
        <v>84047.860400000005</v>
      </c>
      <c r="U56" s="4">
        <f t="shared" si="34"/>
        <v>18772.56812583268</v>
      </c>
      <c r="V56" s="4">
        <f t="shared" si="34"/>
        <v>-37876.891715027014</v>
      </c>
      <c r="W56" s="4">
        <f t="shared" ref="W56" si="35">W28+W38+W54</f>
        <v>-27036.590906902828</v>
      </c>
    </row>
    <row r="57" spans="1:23" ht="14.4" customHeight="1" x14ac:dyDescent="0.3">
      <c r="B57" t="s">
        <v>147</v>
      </c>
      <c r="C57" s="9"/>
      <c r="D57" s="9">
        <v>340</v>
      </c>
      <c r="E57" s="49"/>
      <c r="F57" s="9">
        <v>61</v>
      </c>
      <c r="G57" s="9">
        <v>-141</v>
      </c>
      <c r="H57" s="9">
        <v>-90</v>
      </c>
      <c r="I57" s="9">
        <v>289</v>
      </c>
      <c r="J57" s="1">
        <v>-194</v>
      </c>
      <c r="K57" s="1">
        <v>-56</v>
      </c>
      <c r="L57" s="1">
        <v>509</v>
      </c>
      <c r="M57" s="1">
        <v>-566</v>
      </c>
      <c r="N57" s="1">
        <v>73</v>
      </c>
      <c r="O57" s="1">
        <v>165</v>
      </c>
      <c r="P57" s="1">
        <v>-55</v>
      </c>
      <c r="Q57" s="1">
        <v>-26</v>
      </c>
      <c r="R57" s="1">
        <v>-80</v>
      </c>
      <c r="S57" s="49">
        <v>-7</v>
      </c>
      <c r="T57" s="152">
        <v>0</v>
      </c>
      <c r="U57" s="152">
        <v>0</v>
      </c>
      <c r="V57" s="152">
        <v>0</v>
      </c>
      <c r="W57" s="152">
        <v>0</v>
      </c>
    </row>
    <row r="58" spans="1:23" ht="14.4" customHeight="1" x14ac:dyDescent="0.3">
      <c r="B58" s="4" t="s">
        <v>24</v>
      </c>
      <c r="C58" s="4">
        <v>68641</v>
      </c>
      <c r="D58" s="4">
        <f>C59</f>
        <v>60658</v>
      </c>
      <c r="E58" s="35">
        <f>D59</f>
        <v>125951</v>
      </c>
      <c r="F58" s="4">
        <f>D59</f>
        <v>125951</v>
      </c>
      <c r="G58" s="4">
        <f t="shared" ref="G58:T58" si="36">F59</f>
        <v>117550</v>
      </c>
      <c r="H58" s="4">
        <f t="shared" si="36"/>
        <v>130650</v>
      </c>
      <c r="I58" s="4">
        <f t="shared" si="36"/>
        <v>73920</v>
      </c>
      <c r="J58" s="4">
        <f t="shared" si="36"/>
        <v>74738</v>
      </c>
      <c r="K58" s="4">
        <f t="shared" si="36"/>
        <v>73075</v>
      </c>
      <c r="L58" s="4">
        <f t="shared" si="36"/>
        <v>72643</v>
      </c>
      <c r="M58" s="4">
        <f t="shared" si="36"/>
        <v>73832</v>
      </c>
      <c r="N58" s="4">
        <f t="shared" si="36"/>
        <v>78147</v>
      </c>
      <c r="O58" s="4">
        <f t="shared" si="36"/>
        <v>80514</v>
      </c>
      <c r="P58" s="4">
        <f t="shared" si="36"/>
        <v>82665</v>
      </c>
      <c r="Q58" s="4">
        <v>81250</v>
      </c>
      <c r="R58" s="4">
        <f t="shared" si="36"/>
        <v>79036.106739999988</v>
      </c>
      <c r="S58" s="4">
        <f t="shared" si="36"/>
        <v>126244.10673999999</v>
      </c>
      <c r="T58" s="4">
        <f t="shared" si="36"/>
        <v>161681.10673999999</v>
      </c>
      <c r="U58" s="4">
        <f>T59</f>
        <v>245728.96713999999</v>
      </c>
      <c r="V58" s="4">
        <f>U59</f>
        <v>264501.53526583267</v>
      </c>
      <c r="W58" s="4">
        <f>V59</f>
        <v>226624.64355080566</v>
      </c>
    </row>
    <row r="59" spans="1:23" ht="14.4" customHeight="1" x14ac:dyDescent="0.3">
      <c r="B59" s="4" t="s">
        <v>25</v>
      </c>
      <c r="C59" s="4">
        <f>SUM(C56:C58)</f>
        <v>60658</v>
      </c>
      <c r="D59" s="4">
        <f>SUM(D56:D58)</f>
        <v>125951</v>
      </c>
      <c r="E59" s="35">
        <f>SUM(E56:E58)</f>
        <v>70138</v>
      </c>
      <c r="F59" s="4">
        <f t="shared" ref="F59:I59" si="37">SUM(F56:F58)</f>
        <v>117550</v>
      </c>
      <c r="G59" s="4">
        <f t="shared" si="37"/>
        <v>130650</v>
      </c>
      <c r="H59" s="4">
        <f t="shared" si="37"/>
        <v>73920</v>
      </c>
      <c r="I59" s="4">
        <f t="shared" si="37"/>
        <v>74738</v>
      </c>
      <c r="J59" s="4">
        <f t="shared" ref="J59:K59" si="38">SUM(J56:J58)</f>
        <v>73075</v>
      </c>
      <c r="K59" s="4">
        <f t="shared" si="38"/>
        <v>72643</v>
      </c>
      <c r="L59" s="4">
        <f t="shared" ref="L59:M59" si="39">SUM(L56:L58)</f>
        <v>73832</v>
      </c>
      <c r="M59" s="4">
        <f t="shared" si="39"/>
        <v>78147</v>
      </c>
      <c r="N59" s="4">
        <f t="shared" ref="N59:O59" si="40">SUM(N56:N58)</f>
        <v>80514</v>
      </c>
      <c r="O59" s="4">
        <f t="shared" si="40"/>
        <v>82665</v>
      </c>
      <c r="P59" s="4">
        <f t="shared" ref="P59:Q59" si="41">SUM(P56:P58)</f>
        <v>81257.142319999999</v>
      </c>
      <c r="Q59" s="4">
        <f t="shared" si="41"/>
        <v>79036.106739999988</v>
      </c>
      <c r="R59" s="4">
        <f t="shared" ref="R59:S59" si="42">SUM(R56:R58)</f>
        <v>126244.10673999999</v>
      </c>
      <c r="S59" s="4">
        <f t="shared" si="42"/>
        <v>161681.10673999999</v>
      </c>
      <c r="T59" s="4">
        <f t="shared" ref="T59:U59" si="43">SUM(T56:T58)</f>
        <v>245728.96713999999</v>
      </c>
      <c r="U59" s="4">
        <f t="shared" si="43"/>
        <v>264501.53526583267</v>
      </c>
      <c r="V59" s="4">
        <f t="shared" ref="V59:W59" si="44">SUM(V56:V58)</f>
        <v>226624.64355080566</v>
      </c>
      <c r="W59" s="4">
        <f t="shared" si="44"/>
        <v>199588.05264390283</v>
      </c>
    </row>
    <row r="62" spans="1:23" ht="14.4" customHeight="1" x14ac:dyDescent="0.3">
      <c r="B62" s="100" t="s">
        <v>2</v>
      </c>
      <c r="C62" s="100">
        <f>C28+C31+C37</f>
        <v>-114044</v>
      </c>
      <c r="D62" s="100">
        <f>D28+D31+D37</f>
        <v>117631</v>
      </c>
      <c r="E62" s="100">
        <f>SUM(F62:I62)</f>
        <v>123176</v>
      </c>
      <c r="F62" s="100">
        <f t="shared" ref="F62:V62" si="45">F28+F31+F37</f>
        <v>51590</v>
      </c>
      <c r="G62" s="100">
        <f t="shared" si="45"/>
        <v>68830</v>
      </c>
      <c r="H62" s="100">
        <f t="shared" si="45"/>
        <v>-37308</v>
      </c>
      <c r="I62" s="100">
        <f t="shared" si="45"/>
        <v>40064</v>
      </c>
      <c r="J62" s="100">
        <f t="shared" si="45"/>
        <v>66032</v>
      </c>
      <c r="K62" s="100">
        <f t="shared" si="45"/>
        <v>82042</v>
      </c>
      <c r="L62" s="100">
        <f t="shared" si="45"/>
        <v>78094</v>
      </c>
      <c r="M62" s="100">
        <f t="shared" si="45"/>
        <v>65652</v>
      </c>
      <c r="N62" s="100">
        <f t="shared" si="45"/>
        <v>33398</v>
      </c>
      <c r="O62" s="100">
        <f t="shared" si="45"/>
        <v>82413</v>
      </c>
      <c r="P62" s="100">
        <f t="shared" si="45"/>
        <v>48481</v>
      </c>
      <c r="Q62" s="100">
        <f t="shared" si="45"/>
        <v>-24879</v>
      </c>
      <c r="R62" s="100">
        <f t="shared" si="45"/>
        <v>95721</v>
      </c>
      <c r="S62" s="100">
        <f t="shared" si="45"/>
        <v>212175</v>
      </c>
      <c r="T62" s="100">
        <f t="shared" si="45"/>
        <v>240360.24</v>
      </c>
      <c r="U62" s="100">
        <f t="shared" si="45"/>
        <v>242493.1535999999</v>
      </c>
      <c r="V62" s="100">
        <f t="shared" si="45"/>
        <v>187974.12288000004</v>
      </c>
      <c r="W62" s="100">
        <f t="shared" ref="W62" si="46">W28+W31+W37</f>
        <v>144358.89830400009</v>
      </c>
    </row>
    <row r="63" spans="1:23" ht="14.4" customHeight="1" x14ac:dyDescent="0.3">
      <c r="B63" s="100" t="s">
        <v>150</v>
      </c>
      <c r="C63" s="100">
        <f>C62-'P&amp;L'!C23-'P&amp;L'!C22</f>
        <v>-88323</v>
      </c>
      <c r="D63" s="100">
        <f>D62-'P&amp;L'!D23-'P&amp;L'!D22</f>
        <v>140043</v>
      </c>
      <c r="E63" s="100">
        <f>E62-'P&amp;L'!E23-'P&amp;L'!E22</f>
        <v>151752</v>
      </c>
      <c r="F63" s="100">
        <f>F62-'P&amp;L'!F23-'P&amp;L'!F22</f>
        <v>58778</v>
      </c>
      <c r="G63" s="100">
        <f>G62-'P&amp;L'!G23-'P&amp;L'!G22</f>
        <v>74356</v>
      </c>
      <c r="H63" s="100">
        <f>H62-'P&amp;L'!H23-'P&amp;L'!H22</f>
        <v>-29732</v>
      </c>
      <c r="I63" s="100">
        <f>I62-'P&amp;L'!I23-'P&amp;L'!I22</f>
        <v>48350</v>
      </c>
      <c r="J63" s="100">
        <f>J62-'P&amp;L'!J23-'P&amp;L'!J22</f>
        <v>73716</v>
      </c>
      <c r="K63" s="100">
        <f>K62-'P&amp;L'!K23-'P&amp;L'!K22</f>
        <v>89028</v>
      </c>
      <c r="L63" s="100">
        <f>L62-'P&amp;L'!L23-'P&amp;L'!L22</f>
        <v>84377</v>
      </c>
      <c r="M63" s="100">
        <f>M62-'P&amp;L'!M23-'P&amp;L'!M22</f>
        <v>71179</v>
      </c>
      <c r="N63" s="100">
        <f>N62-'P&amp;L'!N23-'P&amp;L'!N22</f>
        <v>37711</v>
      </c>
      <c r="O63" s="100">
        <f>O62-'P&amp;L'!O23-'P&amp;L'!O22</f>
        <v>85779</v>
      </c>
      <c r="P63" s="100">
        <f>P62-'P&amp;L'!P23-'P&amp;L'!P22</f>
        <v>50131</v>
      </c>
      <c r="Q63" s="100">
        <f>Q62-'P&amp;L'!Q23-'P&amp;L'!Q22</f>
        <v>-23179</v>
      </c>
      <c r="R63" s="100">
        <f>R62-'P&amp;L'!R23-'P&amp;L'!R22</f>
        <v>99361</v>
      </c>
      <c r="S63" s="100">
        <f>S62-'P&amp;L'!S23-'P&amp;L'!S22</f>
        <v>217569</v>
      </c>
      <c r="T63" s="100">
        <f>T62-'P&amp;L'!T23-'P&amp;L'!T22</f>
        <v>245754.23999999999</v>
      </c>
      <c r="U63" s="100">
        <f>U62-'P&amp;L'!U23-'P&amp;L'!U22</f>
        <v>247887.1535999999</v>
      </c>
      <c r="V63" s="100">
        <f>V62-'P&amp;L'!V23-'P&amp;L'!V22</f>
        <v>193368.12288000004</v>
      </c>
      <c r="W63" s="100">
        <f>W62-'P&amp;L'!W23-'P&amp;L'!W22</f>
        <v>149752.89830400009</v>
      </c>
    </row>
  </sheetData>
  <pageMargins left="0.7" right="0.7" top="0.75" bottom="0.75" header="0.3" footer="0.3"/>
  <pageSetup paperSize="9" orientation="portrait" horizontalDpi="0" verticalDpi="0" r:id="rId1"/>
  <ignoredErrors>
    <ignoredError sqref="E5 E33:E40 E12:E31 E7:E10" formulaRange="1"/>
    <ignoredError sqref="E41 E43:E50" formula="1" formulaRange="1"/>
    <ignoredError sqref="F58 E51:E6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Cover</vt:lpstr>
      <vt:lpstr>NAV</vt:lpstr>
      <vt:lpstr>P&amp;L</vt:lpstr>
      <vt:lpstr>Balance</vt:lpstr>
      <vt:lpstr>CashFlow</vt:lpstr>
    </vt:vector>
  </TitlesOfParts>
  <Company>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Full name</cp:lastModifiedBy>
  <dcterms:created xsi:type="dcterms:W3CDTF">2023-09-26T09:00:29Z</dcterms:created>
  <dcterms:modified xsi:type="dcterms:W3CDTF">2026-08-11T17:07:36Z</dcterms:modified>
</cp:coreProperties>
</file>